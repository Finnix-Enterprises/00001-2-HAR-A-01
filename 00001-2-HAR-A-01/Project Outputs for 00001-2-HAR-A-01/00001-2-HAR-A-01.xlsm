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_HUB\Finnix\00001-2-HAR-A-01\Altium\00001-2-HAR-A-01\Project Outputs for 00001-2-HAR-A-01\"/>
    </mc:Choice>
  </mc:AlternateContent>
  <bookViews>
    <workbookView xWindow="1296" yWindow="-108" windowWidth="18012" windowHeight="11016"/>
  </bookViews>
  <sheets>
    <sheet name="BOM" sheetId="10" r:id="rId1"/>
    <sheet name="P_BOM" sheetId="4" r:id="rId2"/>
    <sheet name="SPEC" sheetId="5" r:id="rId3"/>
    <sheet name="STACK" sheetId="7" r:id="rId4"/>
    <sheet name="SPEC options" sheetId="6" r:id="rId5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0" l="1"/>
  <c r="B5" i="10"/>
  <c r="B6" i="10"/>
  <c r="H10" i="7" l="1"/>
  <c r="E10" i="7"/>
  <c r="E9" i="7"/>
  <c r="E8" i="7"/>
  <c r="D1" i="5"/>
  <c r="B1" i="5"/>
  <c r="B9" i="4"/>
  <c r="B8" i="4"/>
  <c r="B7" i="4"/>
  <c r="B6" i="4"/>
  <c r="B5" i="4"/>
  <c r="B4" i="4"/>
</calcChain>
</file>

<file path=xl/sharedStrings.xml><?xml version="1.0" encoding="utf-8"?>
<sst xmlns="http://schemas.openxmlformats.org/spreadsheetml/2006/main" count="589" uniqueCount="342">
  <si>
    <t>Client :</t>
  </si>
  <si>
    <t>Project Name :</t>
  </si>
  <si>
    <t>Project Code :</t>
  </si>
  <si>
    <t>Rev Number :</t>
  </si>
  <si>
    <t>Tel :</t>
  </si>
  <si>
    <t>Fax :</t>
  </si>
  <si>
    <t>Web :</t>
  </si>
  <si>
    <t>Notes</t>
  </si>
  <si>
    <t>BOM</t>
  </si>
  <si>
    <t>Date:</t>
  </si>
  <si>
    <t>PCB Ref:</t>
  </si>
  <si>
    <t>Production BOM</t>
  </si>
  <si>
    <t>Populated</t>
  </si>
  <si>
    <t>Checked</t>
  </si>
  <si>
    <t>PCB File:</t>
  </si>
  <si>
    <t>Bow and twist maximum of 0.007" per inch.</t>
  </si>
  <si>
    <t>General acceptability per IPC-A-600G class II.</t>
  </si>
  <si>
    <t>Workmanship</t>
  </si>
  <si>
    <t>Silkscreen or soldermask not allowed on surface mount or through hole pads.</t>
  </si>
  <si>
    <t>Finish</t>
  </si>
  <si>
    <t>There shall be no breakout of holes from lands.</t>
  </si>
  <si>
    <t>Hole centres to be ±0.003" from true centre of lands.</t>
  </si>
  <si>
    <t>Plated through holes have minimum 0.001" plating thickness.</t>
  </si>
  <si>
    <r>
      <t xml:space="preserve">Hole sizes specified above are finished sizes, </t>
    </r>
    <r>
      <rPr>
        <sz val="11"/>
        <color theme="1"/>
        <rFont val="Calibri"/>
        <family val="2"/>
      </rPr>
      <t>±</t>
    </r>
    <r>
      <rPr>
        <sz val="10"/>
        <rFont val="Arial"/>
        <family val="2"/>
      </rPr>
      <t>0.003 tolerance</t>
    </r>
  </si>
  <si>
    <t>All holes with terminal lands are plated through holes.</t>
  </si>
  <si>
    <t>Drilling and Plating</t>
  </si>
  <si>
    <t>Unless Otherwire Specified:</t>
  </si>
  <si>
    <t>Please record any additional requirements here</t>
  </si>
  <si>
    <t>Additional Notes:</t>
  </si>
  <si>
    <t>N/A</t>
  </si>
  <si>
    <t>Yes</t>
  </si>
  <si>
    <t>Electrical Test Required</t>
  </si>
  <si>
    <t>ENIG</t>
  </si>
  <si>
    <t>Surface Plating</t>
  </si>
  <si>
    <t>Oz</t>
  </si>
  <si>
    <t>Copper Weight Outer Layers</t>
  </si>
  <si>
    <t>Copper Weight Inner Layers</t>
  </si>
  <si>
    <t>sides</t>
  </si>
  <si>
    <t>Silkscreen Sides</t>
  </si>
  <si>
    <t>White</t>
  </si>
  <si>
    <t>Silkscreen Colour</t>
  </si>
  <si>
    <t>LPI</t>
  </si>
  <si>
    <t>Soldermask Type</t>
  </si>
  <si>
    <t>Number of Soldermask Sides</t>
  </si>
  <si>
    <t>Green</t>
  </si>
  <si>
    <t>Soldermask Colour</t>
  </si>
  <si>
    <t>mm</t>
  </si>
  <si>
    <t>Min Distance Between Centres of SMT Pads</t>
  </si>
  <si>
    <t>Minimum Width of Surface Mount Pads</t>
  </si>
  <si>
    <t>Minimum Distance Between Hole Centres</t>
  </si>
  <si>
    <t>Smallest Drill Diameter</t>
  </si>
  <si>
    <t>Minimum Air Gap</t>
  </si>
  <si>
    <t>Minimum Track Width</t>
  </si>
  <si>
    <t>Finished Board Thickness</t>
  </si>
  <si>
    <t>Standard FR-4 Epoxy Glass</t>
  </si>
  <si>
    <t>Laminate Material</t>
  </si>
  <si>
    <t>Maximum PCB Dimensions</t>
  </si>
  <si>
    <t>Number of layers</t>
  </si>
  <si>
    <t>Dimensions</t>
  </si>
  <si>
    <t>Contact Email</t>
  </si>
  <si>
    <t>Date</t>
  </si>
  <si>
    <t>PCB Name</t>
  </si>
  <si>
    <t>mils</t>
  </si>
  <si>
    <t>Dimension Drop Down Box</t>
  </si>
  <si>
    <t xml:space="preserve">No </t>
  </si>
  <si>
    <t>OSP</t>
  </si>
  <si>
    <t>Immersion Tin</t>
  </si>
  <si>
    <t>Hard Gold</t>
  </si>
  <si>
    <t>HASL</t>
  </si>
  <si>
    <t>Yellow</t>
  </si>
  <si>
    <t>Black</t>
  </si>
  <si>
    <t>Blue</t>
  </si>
  <si>
    <t>Red</t>
  </si>
  <si>
    <t>Rigid-flex</t>
  </si>
  <si>
    <t>Flexible</t>
  </si>
  <si>
    <t>Option</t>
  </si>
  <si>
    <t>Property</t>
  </si>
  <si>
    <t>F</t>
  </si>
  <si>
    <t>E</t>
  </si>
  <si>
    <t>D</t>
  </si>
  <si>
    <t>C</t>
  </si>
  <si>
    <t>B</t>
  </si>
  <si>
    <t>A</t>
  </si>
  <si>
    <t>REVISION NO:</t>
  </si>
  <si>
    <t>DRAWING NUMBER:</t>
  </si>
  <si>
    <t>DATE:</t>
  </si>
  <si>
    <t>DRAWN BY:</t>
  </si>
  <si>
    <t>PCB Layer Stack</t>
  </si>
  <si>
    <t>PCB LAYER STACK</t>
  </si>
  <si>
    <t>Contact</t>
  </si>
  <si>
    <t>Engineer :</t>
  </si>
  <si>
    <t>CLIENT</t>
  </si>
  <si>
    <t>COPYRIGHT OF MEL 2017</t>
  </si>
  <si>
    <t>Minimum Track Clearance</t>
  </si>
  <si>
    <t>140.67 x 95</t>
  </si>
  <si>
    <t>Varun</t>
  </si>
  <si>
    <t xml:space="preserve"> Altos Engineers Pvt. Ltd
Plot No 34, Pace City I, Sector 37, Gurugram, Haryana 122001, India</t>
  </si>
  <si>
    <t>Finnix</t>
  </si>
  <si>
    <t>Secure appliance disabling system</t>
  </si>
  <si>
    <t>00001-2-HAR-A-01.PrjPcb</t>
  </si>
  <si>
    <t>9/20/2024</t>
  </si>
  <si>
    <t>Designator</t>
  </si>
  <si>
    <t>C1, C2, C3, C4</t>
  </si>
  <si>
    <t>C5</t>
  </si>
  <si>
    <t>C6</t>
  </si>
  <si>
    <t>C7, C11, C12, C13</t>
  </si>
  <si>
    <t>C8</t>
  </si>
  <si>
    <t>C9, C10</t>
  </si>
  <si>
    <t>D1</t>
  </si>
  <si>
    <t>IR1</t>
  </si>
  <si>
    <t>J1</t>
  </si>
  <si>
    <t>J2, J3, J4, J5</t>
  </si>
  <si>
    <t>J6</t>
  </si>
  <si>
    <t>J7</t>
  </si>
  <si>
    <t>LED1</t>
  </si>
  <si>
    <t>LED2</t>
  </si>
  <si>
    <t>LED3</t>
  </si>
  <si>
    <t>Q1</t>
  </si>
  <si>
    <t>Q2</t>
  </si>
  <si>
    <t>Q3, Q4</t>
  </si>
  <si>
    <t>R1</t>
  </si>
  <si>
    <t>R2</t>
  </si>
  <si>
    <t>R3, R15</t>
  </si>
  <si>
    <t>R4, R5</t>
  </si>
  <si>
    <t>R6</t>
  </si>
  <si>
    <t>R7, R11</t>
  </si>
  <si>
    <t>R8</t>
  </si>
  <si>
    <t>R9</t>
  </si>
  <si>
    <t>R10</t>
  </si>
  <si>
    <t>R12, R13, R16, R17, R18, R19, R20, R21, R22, R23, R24</t>
  </si>
  <si>
    <t>R14</t>
  </si>
  <si>
    <t>RL1, RL2</t>
  </si>
  <si>
    <t>SW1</t>
  </si>
  <si>
    <t>TP1, TP2</t>
  </si>
  <si>
    <t>U1</t>
  </si>
  <si>
    <t>U2</t>
  </si>
  <si>
    <t>U3</t>
  </si>
  <si>
    <t>U4</t>
  </si>
  <si>
    <t>U5</t>
  </si>
  <si>
    <t>U6</t>
  </si>
  <si>
    <t>U7</t>
  </si>
  <si>
    <t>U8</t>
  </si>
  <si>
    <t>Description</t>
  </si>
  <si>
    <t>1 µF ±10% 10V Ceramic Capacitor X7R 0805 (2012 Metric)</t>
  </si>
  <si>
    <t>100 µF 6.3 V Aluminum Electrolytic Capacitors Radial, Can 2000 Hrs @ 85°C</t>
  </si>
  <si>
    <t>2.2 µF 35 V Aluminum Electrolytic Capacitors Radial, Can 20000 Hrs @ 105°C</t>
  </si>
  <si>
    <t>0.1 µF ±10% 6.3V Ceramic Capacitor X5R 0805 (2012 Metric)</t>
  </si>
  <si>
    <t>1000 pF ±10% 10V Ceramic Capacitor X7R 0805 (2012 Metric)</t>
  </si>
  <si>
    <t>22 µF ±10% 6.3V Ceramic Capacitor X5R 0805 (2012 Metric)</t>
  </si>
  <si>
    <t>Remote Receiver Sensor 38.0kHz 20m Through Hole</t>
  </si>
  <si>
    <t>Connector Header Through Hole, Right Angle 2 position 0.049" (1.25mm)</t>
  </si>
  <si>
    <t>2 Position Wire to Board Terminal Block Horizontal with Board 0.138" (3.50mm) Through Hole</t>
  </si>
  <si>
    <t>Connector Header Through Hole 3 position 0.100" (2.54mm)</t>
  </si>
  <si>
    <t>Connector Header Through Hole 4 position 0.100" (2.54mm)</t>
  </si>
  <si>
    <t>Green 568nm LED Indication - Discrete 2.2V Radial</t>
  </si>
  <si>
    <t>Blue 470nm LED Indication - Discrete 2.8V Radial</t>
  </si>
  <si>
    <t>Standard LEDs - SMD Super Red, 633nm 224mcd, 20mA</t>
  </si>
  <si>
    <t>P-Channel 20 V 2.5A (Ta) 800mW (Ta) Surface Mount SOT-23-3</t>
  </si>
  <si>
    <t>Bipolar (BJT) Transistor NPN 30 V 100 mA 300MHz 500 mW Through Hole TO-92-3</t>
  </si>
  <si>
    <t>NTC Thermistor 10k Bead, Epoxy</t>
  </si>
  <si>
    <t>383 Ohms ±0.1% 0.125W, 1/8W Chip Resistor 0805 (2012 Metric) Automotive AEC-Q200 Thin Film</t>
  </si>
  <si>
    <t>27 kOhms ±5% 0.125W, 1/8W Chip Resistor 0805 (2012 Metric) Automotive AEC-Q200 Thick Film</t>
  </si>
  <si>
    <t>100 Ohms ±5% 0.125W, 1/8W Chip Resistor 0805 (2012 Metric) Automotive AEC-Q200 Thick Film</t>
  </si>
  <si>
    <t>1 kOhms ±5% 0.125W, 1/8W Chip Resistor 0805 (2012 Metric) Automotive AEC-Q200 Thick Film</t>
  </si>
  <si>
    <t>560 Ohms ±0.1% 0.125W, 1/8W Chip Resistor 0805 (2012 Metric) Automotive AEC-Q200 Thin Film</t>
  </si>
  <si>
    <t>330 Ohms ±0.1% 0.125W, 1/8W Chip Resistor 0805 (2012 Metric) Automotive AEC-Q200 Thin Film</t>
  </si>
  <si>
    <t>100 Ohms ±0.1% 0.125W, 1/8W Chip Resistor 0805 (2012 Metric) Automotive AEC-Q200 Thin Film</t>
  </si>
  <si>
    <t>510 Ohms ±0.1% 0.125W, 1/8W Chip Resistor 0805 (2012 Metric) Automotive AEC-Q200 Thin Film</t>
  </si>
  <si>
    <t>10 kOhms ±0.1% 0.125W, 1/8W Chip Resistor 0805 (2012 Metric) Automotive AEC-Q200 Thin Film</t>
  </si>
  <si>
    <t>33 kOhms ±5% 5W Chip Resistor 5329 (13573 Metric), J-Lead Flame Retardant Coating, Safety Metal Film</t>
  </si>
  <si>
    <t>5V Trigger Relay Module</t>
  </si>
  <si>
    <t>Tactile Switch SPST-NO Top Actuated Through Hole</t>
  </si>
  <si>
    <t>AC to DC Power Supply Module</t>
  </si>
  <si>
    <t>800-MA LINEAR BATTERY CHARGER FO</t>
  </si>
  <si>
    <t>Linear Voltage Regulator IC Positive Fixed 1 Output 300mA SOT-23-5</t>
  </si>
  <si>
    <t>Counter IC Counter, Decade 1 Element 10 Bit Positive, Negative 16-PDIP</t>
  </si>
  <si>
    <t>Current Sensor 20A 1 Channel Hall Effect, Open Loop Bidirectional 8-SOIC (0.154", 3.90mm Width)</t>
  </si>
  <si>
    <t>Optoisolator Transistor with Base Output 5000Vrms 1 Channel 6-DIP</t>
  </si>
  <si>
    <t>Bluetooth, WiFi 802.11b/g/n, Bluetooth v4.2 +EDR, Class 1, 2 and 3 Transceiver Module 2.4GHz ~ 2.5GHz Integrated, Trace Surface Mount</t>
  </si>
  <si>
    <t>miniature cellular GSM modem</t>
  </si>
  <si>
    <t>Distributor 1</t>
  </si>
  <si>
    <t>digikey</t>
  </si>
  <si>
    <t>Digikey</t>
  </si>
  <si>
    <t>Mouser</t>
  </si>
  <si>
    <t>Winsource</t>
  </si>
  <si>
    <t>ElectroncisComp</t>
  </si>
  <si>
    <t>Alibaba</t>
  </si>
  <si>
    <t>Distributor 1 Part no.</t>
  </si>
  <si>
    <t>490-1695-1-ND</t>
  </si>
  <si>
    <t>478-08056D104KAT2ACT-ND</t>
  </si>
  <si>
    <t>493-15889-ND</t>
  </si>
  <si>
    <t>399-C0805C102K8RAC7800CT-ND</t>
  </si>
  <si>
    <t>497-5550-1-ND</t>
  </si>
  <si>
    <t>751-1227-ND</t>
  </si>
  <si>
    <t>WM1742-ND</t>
  </si>
  <si>
    <t>277-1721-ND</t>
  </si>
  <si>
    <t>S1011EC-03-ND</t>
  </si>
  <si>
    <t>609-3255-ND</t>
  </si>
  <si>
    <t>732-5008-ND</t>
  </si>
  <si>
    <t>720-LSM676-Q2S1-1-Z</t>
  </si>
  <si>
    <t>BC557ATACT-ND</t>
  </si>
  <si>
    <t>2156-BC548-FS-ND</t>
  </si>
  <si>
    <t>DMG2301U-7DICT-ND</t>
  </si>
  <si>
    <t>615-1054-ND</t>
  </si>
  <si>
    <t>10-ERA-6AEB3830VCT-ND</t>
  </si>
  <si>
    <t>P27KACT-ND</t>
  </si>
  <si>
    <t>P100ACT-ND</t>
  </si>
  <si>
    <t>P560DACT-ND</t>
  </si>
  <si>
    <t>P330DACT-ND</t>
  </si>
  <si>
    <t>P100DACT-ND</t>
  </si>
  <si>
    <t>P510DACT-ND</t>
  </si>
  <si>
    <t>P10KDACT-ND</t>
  </si>
  <si>
    <t>A106035CT-ND</t>
  </si>
  <si>
    <t>340142-SRD-05VDC-SL-C</t>
  </si>
  <si>
    <t>450-1647-ND</t>
  </si>
  <si>
    <t>EC-4693</t>
  </si>
  <si>
    <t>296-BQ25170DSGRCT-ND</t>
  </si>
  <si>
    <t>2129-RP170N331D-TR-FECT-ND</t>
  </si>
  <si>
    <t>296-2037-5-ND</t>
  </si>
  <si>
    <t>620-1190-1-ND</t>
  </si>
  <si>
    <t>58-H11AA1-ND</t>
  </si>
  <si>
    <t>1965-ESP32-WROOM-32E-N4CT-ND</t>
  </si>
  <si>
    <t>FIT/NFIT</t>
  </si>
  <si>
    <t>FIT</t>
  </si>
  <si>
    <t>NFIT</t>
  </si>
  <si>
    <t>Footprint</t>
  </si>
  <si>
    <t>CAP0805</t>
  </si>
  <si>
    <t>EC-A_PAN</t>
  </si>
  <si>
    <t>CAP_RN_10X12P5_NCH</t>
  </si>
  <si>
    <t>SOT-323_2P2X1P35X1P3_STM-M</t>
  </si>
  <si>
    <t>TSOP382</t>
  </si>
  <si>
    <t>MOLEX_530480210</t>
  </si>
  <si>
    <t>PHOENIX_1984617</t>
  </si>
  <si>
    <t>CONN_PRPC003SAAN-RC_SUL</t>
  </si>
  <si>
    <t>Amphenol_FCI_0_MFG</t>
  </si>
  <si>
    <t>WL-TMRC_D3.95H5.3_GREEN</t>
  </si>
  <si>
    <t>WL-TMRC_D3.95H5.3_BLUE</t>
  </si>
  <si>
    <t>LEDM2214X140N</t>
  </si>
  <si>
    <t>TO-92-3L_5P33X5P2_ONS</t>
  </si>
  <si>
    <t>SOT23_DMG2301U_DIO</t>
  </si>
  <si>
    <t>DC_USS</t>
  </si>
  <si>
    <t>RES0805</t>
  </si>
  <si>
    <t>RES_SMF5_TYCO_TYC</t>
  </si>
  <si>
    <t>RELAY_SRD-05VDC-SL-C</t>
  </si>
  <si>
    <t>SW4_1825910-E_TEC</t>
  </si>
  <si>
    <t>TEST_POINT</t>
  </si>
  <si>
    <t>CONV_HLK-10M05</t>
  </si>
  <si>
    <t>DSG0008A</t>
  </si>
  <si>
    <t>SOT-23-5SC-74A_PE-SOT-23-5-180326_NMD-M</t>
  </si>
  <si>
    <t>N16</t>
  </si>
  <si>
    <t>SOIC127P600X175-8N</t>
  </si>
  <si>
    <t>DIP762W50P254L730H410Q6</t>
  </si>
  <si>
    <t>ESP32­WROOM­32E_EXP</t>
  </si>
  <si>
    <t>SIM800L-CORE</t>
  </si>
  <si>
    <t>Manufacturer</t>
  </si>
  <si>
    <t>Murata Electronics</t>
  </si>
  <si>
    <t>Panasonic Electronic Components</t>
  </si>
  <si>
    <t>Nichicon</t>
  </si>
  <si>
    <t>KYOCERA AVX</t>
  </si>
  <si>
    <t>KEMET</t>
  </si>
  <si>
    <t>Samsung Electro-Mechanics</t>
  </si>
  <si>
    <t>STMicroelectronics</t>
  </si>
  <si>
    <t>Molex</t>
  </si>
  <si>
    <t>Phoenix Contact</t>
  </si>
  <si>
    <t>Sullins Connector Solutions</t>
  </si>
  <si>
    <t>Amphenol ICC (FCI)</t>
  </si>
  <si>
    <t>Würth Elektronik</t>
  </si>
  <si>
    <t>ams OSRAM</t>
  </si>
  <si>
    <t>onsemi</t>
  </si>
  <si>
    <t>Fairchild Semiconductor</t>
  </si>
  <si>
    <t>Diodes Incorporated</t>
  </si>
  <si>
    <t>TE Connectivity Passive Product</t>
  </si>
  <si>
    <t>SongLe</t>
  </si>
  <si>
    <t>TE Connectivity ALCOSWITCH Switches</t>
  </si>
  <si>
    <t>Hi-link</t>
  </si>
  <si>
    <t>Texas Instruments</t>
  </si>
  <si>
    <t>Nisshinbo Micro Devices Inc.</t>
  </si>
  <si>
    <t>Isocom Components 2004 LTD</t>
  </si>
  <si>
    <t>Espressif Systems</t>
  </si>
  <si>
    <t>SIMCOM</t>
  </si>
  <si>
    <t>Manufacturer Part no.</t>
  </si>
  <si>
    <t>GRM21BR71A105KA01L</t>
  </si>
  <si>
    <t>ECA-0JM101</t>
  </si>
  <si>
    <t>UPX1V2R2MPD</t>
  </si>
  <si>
    <t>08056D104KAT2A</t>
  </si>
  <si>
    <t>C0805C102K8RAC7800</t>
  </si>
  <si>
    <t>CL21A226KQCLRNC</t>
  </si>
  <si>
    <t>BAT30CWFILM</t>
  </si>
  <si>
    <t>TSOP38238</t>
  </si>
  <si>
    <t>PRPC003SAAN-RC</t>
  </si>
  <si>
    <t>68000-204HLF</t>
  </si>
  <si>
    <t>151031VS06000</t>
  </si>
  <si>
    <t>151034BS03000</t>
  </si>
  <si>
    <t>LS M676-Q2S1-1-Z</t>
  </si>
  <si>
    <t>BC557ATA</t>
  </si>
  <si>
    <t>BC548</t>
  </si>
  <si>
    <t>DMG2301U-7</t>
  </si>
  <si>
    <t>DC103G9G</t>
  </si>
  <si>
    <t>ERA-6AEB3830V</t>
  </si>
  <si>
    <t>ERJ-6GEYJ273V</t>
  </si>
  <si>
    <t>ERJ-6GEYJ101V</t>
  </si>
  <si>
    <t>P1.0KACT-ND</t>
  </si>
  <si>
    <t>ERA-6AEB561V</t>
  </si>
  <si>
    <t>ERA-6AEB331V</t>
  </si>
  <si>
    <t>ERA-6AEB101V</t>
  </si>
  <si>
    <t>ERA-6AEB511V</t>
  </si>
  <si>
    <t>ERA-6AEB103V</t>
  </si>
  <si>
    <t>SMF533KJT</t>
  </si>
  <si>
    <t>SRD-05VDC-SL-C</t>
  </si>
  <si>
    <t>1-1825910-8</t>
  </si>
  <si>
    <t>HLK-10M05</t>
  </si>
  <si>
    <t>CD4017BE</t>
  </si>
  <si>
    <t>ACS712ELCTR-20A-T</t>
  </si>
  <si>
    <t>H11AA1</t>
  </si>
  <si>
    <t>ESP32-WROOM-32E-N4</t>
  </si>
  <si>
    <t>-</t>
  </si>
  <si>
    <t>Quantity</t>
  </si>
  <si>
    <t>Value</t>
  </si>
  <si>
    <t>1uF 10V</t>
  </si>
  <si>
    <t>100uF 6.3V</t>
  </si>
  <si>
    <t>2.2uF 35V</t>
  </si>
  <si>
    <t>0.1 µF 6.3 V</t>
  </si>
  <si>
    <t>1nF 10 V</t>
  </si>
  <si>
    <t>22 µF 6.3 V</t>
  </si>
  <si>
    <t>SCHOT 30V 300MA</t>
  </si>
  <si>
    <t>SENSOR REMOTE REC 38.0KHZ 20M</t>
  </si>
  <si>
    <t>TERM BLK 2POS SIDE ENT 3.5MM PCB</t>
  </si>
  <si>
    <t>CONN HEADER VERT 4POS 2.54MM</t>
  </si>
  <si>
    <t>2.2 V 20mA</t>
  </si>
  <si>
    <t>2.3 V 30mA</t>
  </si>
  <si>
    <t>BJT PNP 45V 0.1A</t>
  </si>
  <si>
    <t>TRANS NPN 30V 0.1A</t>
  </si>
  <si>
    <t>P-Channel 20 V 2.5A</t>
  </si>
  <si>
    <t>10K</t>
  </si>
  <si>
    <t>27K</t>
  </si>
  <si>
    <t>1K</t>
  </si>
  <si>
    <t>33K</t>
  </si>
  <si>
    <t>IC DECADE COUNTER 10BIT 16DIP</t>
  </si>
  <si>
    <t>SENSOR CURRENT HALL 20A AC/DC</t>
  </si>
  <si>
    <t>6PIN AC INPUT, SINGLE OPTOCOUPLE</t>
  </si>
  <si>
    <t>RF TXRX MOD BT BLE WIFI</t>
  </si>
  <si>
    <t>#Column Name Error:' 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</si>
</sst>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;@"/>
    <numFmt numFmtId="165" formatCode="&quot;£&quot;#,##0.00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indexed="8"/>
      <name val="MS Sans Serif"/>
      <family val="2"/>
    </font>
    <font>
      <u/>
      <sz val="10"/>
      <color indexed="12"/>
      <name val="Arial"/>
      <family val="2"/>
    </font>
    <font>
      <b/>
      <sz val="8"/>
      <color indexed="8"/>
      <name val="MS Sans Serif"/>
      <family val="2"/>
    </font>
    <font>
      <sz val="11"/>
      <color indexed="8"/>
      <name val="MS Sans Serif"/>
    </font>
    <font>
      <sz val="11"/>
      <name val="Arial"/>
      <family val="2"/>
    </font>
    <font>
      <b/>
      <sz val="11"/>
      <name val="Arial"/>
      <family val="2"/>
    </font>
    <font>
      <sz val="8"/>
      <color rgb="FF000000"/>
      <name val="Segoe UI"/>
      <family val="2"/>
    </font>
    <font>
      <sz val="11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sz val="8"/>
      <name val="Arial"/>
      <family val="2"/>
    </font>
    <font>
      <sz val="16"/>
      <name val="Arial"/>
      <family val="2"/>
    </font>
    <font>
      <sz val="8"/>
      <color indexed="8"/>
      <name val="MS Sans Serif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A3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theme="0" tint="-4.9989318521683403E-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 style="hair">
        <color indexed="8"/>
      </top>
      <bottom/>
      <diagonal/>
    </border>
    <border>
      <left/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64"/>
      </left>
      <right style="hair">
        <color indexed="8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7" fillId="0" borderId="0" applyNumberFormat="0" applyFill="0" applyBorder="0" applyAlignment="0" applyProtection="0"/>
    <xf numFmtId="0" fontId="5" fillId="0" borderId="0"/>
    <xf numFmtId="0" fontId="14" fillId="0" borderId="0"/>
    <xf numFmtId="0" fontId="21" fillId="0" borderId="0"/>
  </cellStyleXfs>
  <cellXfs count="155">
    <xf numFmtId="0" fontId="0" fillId="0" borderId="0" xfId="0"/>
    <xf numFmtId="165" fontId="0" fillId="0" borderId="0" xfId="0" applyNumberFormat="1"/>
    <xf numFmtId="0" fontId="0" fillId="0" borderId="0" xfId="0" applyAlignment="1">
      <alignment wrapText="1"/>
    </xf>
    <xf numFmtId="0" fontId="10" fillId="0" borderId="3" xfId="0" applyFont="1" applyBorder="1" applyAlignment="1">
      <alignment horizontal="left" wrapText="1"/>
    </xf>
    <xf numFmtId="0" fontId="10" fillId="0" borderId="4" xfId="0" applyFont="1" applyBorder="1" applyAlignment="1">
      <alignment horizontal="left"/>
    </xf>
    <xf numFmtId="0" fontId="10" fillId="0" borderId="5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6" xfId="0" applyFont="1" applyBorder="1"/>
    <xf numFmtId="0" fontId="10" fillId="0" borderId="7" xfId="0" applyFont="1" applyBorder="1" applyAlignment="1">
      <alignment horizontal="left" wrapText="1"/>
    </xf>
    <xf numFmtId="0" fontId="10" fillId="0" borderId="1" xfId="0" applyFont="1" applyBorder="1" applyAlignment="1">
      <alignment horizontal="left"/>
    </xf>
    <xf numFmtId="164" fontId="10" fillId="0" borderId="1" xfId="0" applyNumberFormat="1" applyFont="1" applyBorder="1" applyAlignment="1">
      <alignment horizontal="left"/>
    </xf>
    <xf numFmtId="0" fontId="10" fillId="0" borderId="8" xfId="0" applyFont="1" applyBorder="1" applyAlignment="1">
      <alignment horizontal="right"/>
    </xf>
    <xf numFmtId="0" fontId="10" fillId="0" borderId="9" xfId="0" applyFont="1" applyBorder="1" applyAlignment="1">
      <alignment horizontal="left" wrapText="1"/>
    </xf>
    <xf numFmtId="0" fontId="10" fillId="0" borderId="11" xfId="0" applyFont="1" applyBorder="1" applyAlignment="1">
      <alignment horizontal="right"/>
    </xf>
    <xf numFmtId="0" fontId="10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10" fillId="0" borderId="7" xfId="0" applyFont="1" applyBorder="1" applyAlignment="1">
      <alignment horizontal="left"/>
    </xf>
    <xf numFmtId="0" fontId="14" fillId="0" borderId="0" xfId="0" applyFont="1"/>
    <xf numFmtId="0" fontId="14" fillId="0" borderId="0" xfId="0" quotePrefix="1" applyFont="1"/>
    <xf numFmtId="0" fontId="14" fillId="0" borderId="1" xfId="0" applyFont="1" applyBorder="1"/>
    <xf numFmtId="0" fontId="5" fillId="0" borderId="0" xfId="2"/>
    <xf numFmtId="0" fontId="5" fillId="0" borderId="0" xfId="2" applyAlignment="1">
      <alignment horizontal="right"/>
    </xf>
    <xf numFmtId="0" fontId="5" fillId="0" borderId="0" xfId="2" applyAlignment="1">
      <alignment horizontal="left"/>
    </xf>
    <xf numFmtId="0" fontId="5" fillId="0" borderId="1" xfId="2" applyBorder="1" applyAlignment="1">
      <alignment horizontal="center"/>
    </xf>
    <xf numFmtId="0" fontId="5" fillId="0" borderId="1" xfId="2" applyBorder="1" applyAlignment="1">
      <alignment horizontal="right"/>
    </xf>
    <xf numFmtId="0" fontId="15" fillId="0" borderId="4" xfId="2" applyFont="1" applyBorder="1" applyAlignment="1">
      <alignment horizontal="center"/>
    </xf>
    <xf numFmtId="0" fontId="5" fillId="0" borderId="4" xfId="2" applyBorder="1"/>
    <xf numFmtId="0" fontId="15" fillId="0" borderId="0" xfId="2" applyFont="1" applyAlignment="1">
      <alignment horizontal="right"/>
    </xf>
    <xf numFmtId="0" fontId="5" fillId="0" borderId="0" xfId="2" applyAlignment="1">
      <alignment horizontal="center"/>
    </xf>
    <xf numFmtId="0" fontId="5" fillId="0" borderId="5" xfId="2" applyBorder="1" applyAlignment="1">
      <alignment horizontal="center"/>
    </xf>
    <xf numFmtId="0" fontId="5" fillId="5" borderId="0" xfId="2" applyFill="1"/>
    <xf numFmtId="0" fontId="5" fillId="0" borderId="1" xfId="2" applyBorder="1"/>
    <xf numFmtId="0" fontId="5" fillId="0" borderId="1" xfId="2" applyBorder="1" applyAlignment="1">
      <alignment horizontal="left"/>
    </xf>
    <xf numFmtId="0" fontId="14" fillId="0" borderId="0" xfId="3"/>
    <xf numFmtId="0" fontId="14" fillId="0" borderId="24" xfId="3" applyBorder="1"/>
    <xf numFmtId="0" fontId="14" fillId="0" borderId="25" xfId="3" applyBorder="1" applyAlignment="1">
      <alignment horizontal="center"/>
    </xf>
    <xf numFmtId="0" fontId="14" fillId="0" borderId="25" xfId="3" applyBorder="1"/>
    <xf numFmtId="0" fontId="18" fillId="6" borderId="25" xfId="3" applyFont="1" applyFill="1" applyBorder="1" applyAlignment="1">
      <alignment horizontal="right"/>
    </xf>
    <xf numFmtId="0" fontId="14" fillId="0" borderId="0" xfId="3" applyAlignment="1">
      <alignment wrapText="1"/>
    </xf>
    <xf numFmtId="0" fontId="14" fillId="0" borderId="0" xfId="3" applyAlignment="1">
      <alignment horizontal="right"/>
    </xf>
    <xf numFmtId="0" fontId="14" fillId="0" borderId="0" xfId="3" applyAlignment="1">
      <alignment vertical="center" textRotation="90"/>
    </xf>
    <xf numFmtId="0" fontId="14" fillId="0" borderId="25" xfId="3" applyBorder="1" applyAlignment="1">
      <alignment horizontal="center" vertical="center"/>
    </xf>
    <xf numFmtId="0" fontId="14" fillId="0" borderId="28" xfId="3" applyBorder="1" applyAlignment="1">
      <alignment horizontal="center" vertical="center"/>
    </xf>
    <xf numFmtId="0" fontId="19" fillId="0" borderId="0" xfId="3" applyFont="1" applyAlignment="1">
      <alignment vertical="top"/>
    </xf>
    <xf numFmtId="0" fontId="14" fillId="0" borderId="29" xfId="3" applyBorder="1"/>
    <xf numFmtId="0" fontId="14" fillId="0" borderId="0" xfId="3" applyAlignment="1">
      <alignment horizontal="center" wrapText="1"/>
    </xf>
    <xf numFmtId="0" fontId="14" fillId="0" borderId="0" xfId="3" applyAlignment="1">
      <alignment horizontal="center"/>
    </xf>
    <xf numFmtId="0" fontId="14" fillId="0" borderId="0" xfId="3" applyAlignment="1">
      <alignment horizontal="center" vertical="center"/>
    </xf>
    <xf numFmtId="0" fontId="14" fillId="0" borderId="25" xfId="3" applyBorder="1" applyAlignment="1">
      <alignment horizontal="center" wrapText="1"/>
    </xf>
    <xf numFmtId="0" fontId="5" fillId="7" borderId="1" xfId="2" applyFill="1" applyBorder="1" applyAlignment="1">
      <alignment horizontal="center"/>
    </xf>
    <xf numFmtId="0" fontId="18" fillId="6" borderId="29" xfId="3" applyFont="1" applyFill="1" applyBorder="1" applyAlignment="1">
      <alignment horizontal="right"/>
    </xf>
    <xf numFmtId="0" fontId="18" fillId="6" borderId="35" xfId="3" applyFont="1" applyFill="1" applyBorder="1" applyAlignment="1">
      <alignment horizontal="right"/>
    </xf>
    <xf numFmtId="0" fontId="17" fillId="0" borderId="23" xfId="3" applyFont="1" applyBorder="1" applyAlignment="1">
      <alignment horizontal="center"/>
    </xf>
    <xf numFmtId="0" fontId="14" fillId="0" borderId="28" xfId="3" applyBorder="1" applyAlignment="1">
      <alignment horizontal="center"/>
    </xf>
    <xf numFmtId="0" fontId="14" fillId="0" borderId="30" xfId="3" applyBorder="1" applyAlignment="1">
      <alignment horizontal="center"/>
    </xf>
    <xf numFmtId="0" fontId="14" fillId="0" borderId="31" xfId="3" applyBorder="1" applyAlignment="1">
      <alignment horizontal="center"/>
    </xf>
    <xf numFmtId="0" fontId="21" fillId="0" borderId="0" xfId="4"/>
    <xf numFmtId="165" fontId="21" fillId="0" borderId="0" xfId="4" applyNumberFormat="1"/>
    <xf numFmtId="0" fontId="21" fillId="0" borderId="0" xfId="4" applyAlignment="1">
      <alignment horizontal="left" vertical="top"/>
    </xf>
    <xf numFmtId="0" fontId="21" fillId="0" borderId="0" xfId="4" applyAlignment="1">
      <alignment wrapText="1"/>
    </xf>
    <xf numFmtId="0" fontId="21" fillId="0" borderId="1" xfId="4" applyBorder="1"/>
    <xf numFmtId="0" fontId="13" fillId="0" borderId="1" xfId="4" quotePrefix="1" applyFont="1" applyBorder="1" applyAlignment="1">
      <alignment wrapText="1"/>
    </xf>
    <xf numFmtId="0" fontId="13" fillId="0" borderId="1" xfId="4" applyFont="1" applyBorder="1" applyAlignment="1">
      <alignment wrapText="1"/>
    </xf>
    <xf numFmtId="0" fontId="12" fillId="0" borderId="2" xfId="4" quotePrefix="1" applyFont="1" applyBorder="1" applyAlignment="1">
      <alignment horizontal="center" vertical="top" wrapText="1"/>
    </xf>
    <xf numFmtId="0" fontId="12" fillId="0" borderId="1" xfId="4" quotePrefix="1" applyFont="1" applyBorder="1" applyAlignment="1">
      <alignment horizontal="center" vertical="top" wrapText="1"/>
    </xf>
    <xf numFmtId="0" fontId="13" fillId="0" borderId="2" xfId="4" quotePrefix="1" applyFont="1" applyBorder="1" applyAlignment="1">
      <alignment horizontal="center" vertical="top" wrapText="1"/>
    </xf>
    <xf numFmtId="0" fontId="13" fillId="0" borderId="1" xfId="4" quotePrefix="1" applyFont="1" applyBorder="1" applyAlignment="1">
      <alignment horizontal="center" vertical="top" wrapText="1"/>
    </xf>
    <xf numFmtId="0" fontId="9" fillId="2" borderId="1" xfId="4" applyFont="1" applyFill="1" applyBorder="1" applyAlignment="1">
      <alignment horizontal="center"/>
    </xf>
    <xf numFmtId="0" fontId="13" fillId="3" borderId="1" xfId="4" quotePrefix="1" applyFont="1" applyFill="1" applyBorder="1" applyAlignment="1">
      <alignment horizontal="center" wrapText="1"/>
    </xf>
    <xf numFmtId="0" fontId="20" fillId="2" borderId="4" xfId="4" applyFont="1" applyFill="1" applyBorder="1" applyAlignment="1">
      <alignment horizontal="center"/>
    </xf>
    <xf numFmtId="0" fontId="8" fillId="2" borderId="4" xfId="4" applyFont="1" applyFill="1" applyBorder="1" applyAlignment="1">
      <alignment horizontal="center"/>
    </xf>
    <xf numFmtId="0" fontId="8" fillId="2" borderId="4" xfId="4" applyFont="1" applyFill="1" applyBorder="1" applyAlignment="1">
      <alignment horizontal="left" vertical="top"/>
    </xf>
    <xf numFmtId="0" fontId="8" fillId="2" borderId="3" xfId="4" applyFont="1" applyFill="1" applyBorder="1" applyAlignment="1">
      <alignment horizontal="center" wrapText="1"/>
    </xf>
    <xf numFmtId="0" fontId="21" fillId="0" borderId="37" xfId="4" applyBorder="1"/>
    <xf numFmtId="0" fontId="6" fillId="0" borderId="37" xfId="4" applyFont="1" applyBorder="1" applyAlignment="1">
      <alignment horizontal="center"/>
    </xf>
    <xf numFmtId="0" fontId="6" fillId="0" borderId="37" xfId="4" applyFont="1" applyBorder="1" applyAlignment="1">
      <alignment horizontal="left" vertical="top"/>
    </xf>
    <xf numFmtId="0" fontId="6" fillId="0" borderId="37" xfId="4" applyFont="1" applyBorder="1" applyAlignment="1">
      <alignment horizontal="center" wrapText="1"/>
    </xf>
    <xf numFmtId="0" fontId="10" fillId="0" borderId="11" xfId="4" applyFont="1" applyBorder="1" applyAlignment="1">
      <alignment horizontal="right"/>
    </xf>
    <xf numFmtId="0" fontId="10" fillId="0" borderId="0" xfId="4" applyFont="1" applyAlignment="1">
      <alignment horizontal="left" vertical="top"/>
    </xf>
    <xf numFmtId="0" fontId="10" fillId="0" borderId="0" xfId="4" applyFont="1"/>
    <xf numFmtId="164" fontId="10" fillId="0" borderId="1" xfId="4" applyNumberFormat="1" applyFont="1" applyBorder="1" applyAlignment="1">
      <alignment horizontal="left"/>
    </xf>
    <xf numFmtId="0" fontId="10" fillId="0" borderId="9" xfId="4" applyFont="1" applyBorder="1" applyAlignment="1">
      <alignment horizontal="left" wrapText="1"/>
    </xf>
    <xf numFmtId="0" fontId="10" fillId="0" borderId="1" xfId="4" applyFont="1" applyBorder="1" applyAlignment="1">
      <alignment horizontal="left"/>
    </xf>
    <xf numFmtId="0" fontId="10" fillId="0" borderId="8" xfId="4" applyFont="1" applyBorder="1" applyAlignment="1">
      <alignment horizontal="right"/>
    </xf>
    <xf numFmtId="0" fontId="10" fillId="0" borderId="7" xfId="4" applyFont="1" applyBorder="1" applyAlignment="1">
      <alignment horizontal="left"/>
    </xf>
    <xf numFmtId="0" fontId="10" fillId="0" borderId="7" xfId="4" applyFont="1" applyBorder="1" applyAlignment="1">
      <alignment horizontal="left" wrapText="1"/>
    </xf>
    <xf numFmtId="0" fontId="10" fillId="0" borderId="0" xfId="4" applyFont="1" applyAlignment="1">
      <alignment horizontal="left"/>
    </xf>
    <xf numFmtId="0" fontId="10" fillId="0" borderId="4" xfId="4" applyFont="1" applyBorder="1" applyAlignment="1">
      <alignment horizontal="left"/>
    </xf>
    <xf numFmtId="0" fontId="10" fillId="0" borderId="6" xfId="4" applyFont="1" applyBorder="1"/>
    <xf numFmtId="0" fontId="10" fillId="0" borderId="5" xfId="4" applyFont="1" applyBorder="1"/>
    <xf numFmtId="0" fontId="10" fillId="0" borderId="3" xfId="4" applyFont="1" applyBorder="1" applyAlignment="1">
      <alignment horizontal="left" wrapText="1"/>
    </xf>
    <xf numFmtId="0" fontId="4" fillId="0" borderId="1" xfId="2" applyFont="1" applyBorder="1" applyAlignment="1">
      <alignment horizontal="center"/>
    </xf>
    <xf numFmtId="0" fontId="2" fillId="0" borderId="1" xfId="2" applyFont="1" applyBorder="1" applyAlignment="1">
      <alignment horizontal="center"/>
    </xf>
    <xf numFmtId="0" fontId="7" fillId="0" borderId="10" xfId="1" applyNumberFormat="1" applyFill="1" applyBorder="1" applyAlignment="1" applyProtection="1">
      <alignment horizontal="left"/>
    </xf>
    <xf numFmtId="0" fontId="11" fillId="4" borderId="12" xfId="4" applyFont="1" applyFill="1" applyBorder="1" applyAlignment="1">
      <alignment horizontal="center"/>
    </xf>
    <xf numFmtId="0" fontId="11" fillId="4" borderId="13" xfId="4" applyFon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3" xfId="0" applyFont="1" applyFill="1" applyBorder="1" applyAlignment="1">
      <alignment horizontal="center"/>
    </xf>
    <xf numFmtId="0" fontId="13" fillId="3" borderId="8" xfId="0" quotePrefix="1" applyFont="1" applyFill="1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3" fillId="0" borderId="8" xfId="0" applyFont="1" applyBorder="1" applyAlignment="1">
      <alignment wrapText="1"/>
    </xf>
    <xf numFmtId="0" fontId="0" fillId="0" borderId="14" xfId="0" applyBorder="1" applyAlignment="1">
      <alignment wrapText="1"/>
    </xf>
    <xf numFmtId="0" fontId="0" fillId="0" borderId="15" xfId="0" applyBorder="1" applyAlignment="1">
      <alignment wrapText="1"/>
    </xf>
    <xf numFmtId="0" fontId="0" fillId="0" borderId="15" xfId="0" applyBorder="1" applyAlignment="1">
      <alignment horizontal="center" wrapText="1"/>
    </xf>
    <xf numFmtId="0" fontId="13" fillId="0" borderId="8" xfId="0" quotePrefix="1" applyFont="1" applyBorder="1" applyAlignment="1">
      <alignment wrapText="1"/>
    </xf>
    <xf numFmtId="0" fontId="6" fillId="0" borderId="19" xfId="0" applyFont="1" applyBorder="1" applyAlignment="1">
      <alignment horizontal="center" wrapText="1"/>
    </xf>
    <xf numFmtId="0" fontId="0" fillId="0" borderId="36" xfId="0" applyBorder="1" applyAlignment="1">
      <alignment horizontal="center" wrapText="1"/>
    </xf>
    <xf numFmtId="0" fontId="0" fillId="0" borderId="36" xfId="0" applyBorder="1"/>
    <xf numFmtId="0" fontId="0" fillId="0" borderId="20" xfId="0" applyBorder="1"/>
    <xf numFmtId="0" fontId="8" fillId="2" borderId="21" xfId="0" applyFont="1" applyFill="1" applyBorder="1" applyAlignment="1">
      <alignment horizontal="center" wrapText="1"/>
    </xf>
    <xf numFmtId="0" fontId="0" fillId="0" borderId="17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5" fillId="0" borderId="0" xfId="2"/>
    <xf numFmtId="0" fontId="5" fillId="0" borderId="16" xfId="2" applyBorder="1"/>
    <xf numFmtId="0" fontId="5" fillId="0" borderId="4" xfId="2" applyBorder="1"/>
    <xf numFmtId="0" fontId="5" fillId="0" borderId="1" xfId="2" applyBorder="1" applyAlignment="1">
      <alignment horizontal="right"/>
    </xf>
    <xf numFmtId="0" fontId="5" fillId="0" borderId="1" xfId="2" applyBorder="1"/>
    <xf numFmtId="0" fontId="1" fillId="0" borderId="0" xfId="2" applyFont="1"/>
    <xf numFmtId="0" fontId="7" fillId="0" borderId="0" xfId="1" applyAlignment="1"/>
    <xf numFmtId="0" fontId="3" fillId="0" borderId="8" xfId="2" applyFont="1" applyBorder="1" applyAlignment="1">
      <alignment horizontal="right"/>
    </xf>
    <xf numFmtId="0" fontId="5" fillId="0" borderId="15" xfId="2" applyBorder="1" applyAlignment="1">
      <alignment horizontal="right"/>
    </xf>
    <xf numFmtId="0" fontId="5" fillId="0" borderId="0" xfId="2" applyAlignment="1">
      <alignment horizontal="left"/>
    </xf>
    <xf numFmtId="0" fontId="5" fillId="0" borderId="23" xfId="2" applyBorder="1" applyAlignment="1">
      <alignment horizontal="right"/>
    </xf>
    <xf numFmtId="0" fontId="5" fillId="0" borderId="10" xfId="2" applyBorder="1"/>
    <xf numFmtId="0" fontId="5" fillId="0" borderId="11" xfId="2" applyBorder="1"/>
    <xf numFmtId="0" fontId="15" fillId="0" borderId="6" xfId="2" applyFont="1" applyBorder="1"/>
    <xf numFmtId="0" fontId="15" fillId="0" borderId="22" xfId="2" applyFont="1" applyBorder="1"/>
    <xf numFmtId="0" fontId="15" fillId="0" borderId="5" xfId="2" applyFont="1" applyBorder="1"/>
    <xf numFmtId="0" fontId="5" fillId="0" borderId="6" xfId="2" applyBorder="1" applyAlignment="1">
      <alignment horizontal="left"/>
    </xf>
    <xf numFmtId="0" fontId="5" fillId="0" borderId="22" xfId="2" applyBorder="1"/>
    <xf numFmtId="0" fontId="5" fillId="0" borderId="5" xfId="2" applyBorder="1"/>
    <xf numFmtId="0" fontId="15" fillId="0" borderId="6" xfId="2" applyFont="1" applyBorder="1" applyAlignment="1">
      <alignment horizontal="left"/>
    </xf>
    <xf numFmtId="0" fontId="5" fillId="0" borderId="0" xfId="2" applyAlignment="1">
      <alignment horizontal="left" vertical="top"/>
    </xf>
    <xf numFmtId="0" fontId="14" fillId="0" borderId="25" xfId="3" applyBorder="1" applyAlignment="1">
      <alignment horizontal="center"/>
    </xf>
    <xf numFmtId="0" fontId="14" fillId="0" borderId="28" xfId="3" applyBorder="1" applyAlignment="1">
      <alignment horizontal="center"/>
    </xf>
    <xf numFmtId="0" fontId="14" fillId="0" borderId="25" xfId="3" applyBorder="1" applyAlignment="1">
      <alignment horizontal="center" vertical="center"/>
    </xf>
    <xf numFmtId="0" fontId="14" fillId="0" borderId="24" xfId="3" applyBorder="1" applyAlignment="1">
      <alignment horizontal="center" vertical="center"/>
    </xf>
    <xf numFmtId="0" fontId="14" fillId="0" borderId="0" xfId="3"/>
    <xf numFmtId="0" fontId="14" fillId="0" borderId="25" xfId="3" applyBorder="1" applyAlignment="1">
      <alignment horizontal="center" vertical="center" textRotation="90"/>
    </xf>
    <xf numFmtId="0" fontId="14" fillId="0" borderId="26" xfId="3" applyBorder="1" applyAlignment="1">
      <alignment horizontal="center" vertical="center" textRotation="90"/>
    </xf>
    <xf numFmtId="0" fontId="17" fillId="0" borderId="24" xfId="3" applyFont="1" applyBorder="1" applyAlignment="1">
      <alignment horizontal="center"/>
    </xf>
    <xf numFmtId="0" fontId="14" fillId="0" borderId="25" xfId="3" applyBorder="1" applyAlignment="1">
      <alignment vertical="center" wrapText="1"/>
    </xf>
    <xf numFmtId="0" fontId="14" fillId="0" borderId="33" xfId="3" applyBorder="1" applyAlignment="1">
      <alignment vertical="center" wrapText="1"/>
    </xf>
    <xf numFmtId="0" fontId="17" fillId="0" borderId="26" xfId="3" applyFont="1" applyBorder="1" applyAlignment="1">
      <alignment horizontal="center"/>
    </xf>
    <xf numFmtId="0" fontId="0" fillId="0" borderId="27" xfId="0" applyBorder="1"/>
    <xf numFmtId="0" fontId="0" fillId="0" borderId="24" xfId="0" applyBorder="1"/>
    <xf numFmtId="0" fontId="0" fillId="0" borderId="32" xfId="0" applyBorder="1"/>
    <xf numFmtId="0" fontId="0" fillId="0" borderId="33" xfId="0" applyBorder="1"/>
    <xf numFmtId="0" fontId="17" fillId="0" borderId="34" xfId="3" applyFont="1" applyBorder="1" applyAlignment="1">
      <alignment horizontal="left"/>
    </xf>
    <xf numFmtId="0" fontId="14" fillId="0" borderId="8" xfId="3" applyBorder="1" applyAlignment="1">
      <alignment horizontal="center"/>
    </xf>
    <xf numFmtId="0" fontId="5" fillId="0" borderId="1" xfId="2" applyBorder="1" applyAlignment="1">
      <alignment horizontal="center"/>
    </xf>
    <xf numFmtId="0" fontId="14" fillId="0" borderId="1" xfId="4" quotePrefix="1" applyFont="1" applyBorder="1"/>
  </cellXfs>
  <cellStyles count="5">
    <cellStyle name="Hyperlink" xfId="1" builtinId="8"/>
    <cellStyle name="Normal" xfId="0" builtinId="0"/>
    <cellStyle name="Normal 2" xfId="2"/>
    <cellStyle name="Normal 2 2" xfId="4"/>
    <cellStyle name="Normal 3" xfId="3"/>
  </cellStyles>
  <dxfs count="43"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0F0F0"/>
      <rgbColor rgb="00000000"/>
      <rgbColor rgb="00F0F0F0"/>
      <rgbColor rgb="00000000"/>
      <rgbColor rgb="00FFFFFF"/>
      <rgbColor rgb="00646464"/>
      <rgbColor rgb="00FFFFFF"/>
      <rgbColor rgb="00000000"/>
      <rgbColor rgb="00F0F0F0"/>
      <rgbColor rgb="00000000"/>
      <rgbColor rgb="00E3E3E3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K191"/>
  <sheetViews>
    <sheetView tabSelected="1" zoomScale="115" zoomScaleNormal="115" zoomScaleSheetLayoutView="85" zoomScalePageLayoutView="85" workbookViewId="0">
      <selection activeCell="K10" sqref="K10"/>
    </sheetView>
  </sheetViews>
  <sheetFormatPr defaultColWidth="9.21875" defaultRowHeight="13.2" x14ac:dyDescent="0.25"/>
  <cols>
    <col min="1" max="1" width="15.21875" style="60" customWidth="1"/>
    <col min="2" max="2" width="27" style="60" customWidth="1"/>
    <col min="3" max="3" width="16.77734375" style="57" customWidth="1"/>
    <col min="4" max="4" width="14.77734375" style="57" customWidth="1"/>
    <col min="5" max="5" width="16.21875" style="57" customWidth="1"/>
    <col min="6" max="6" width="14.5546875" style="57" customWidth="1"/>
    <col min="7" max="7" width="17.5546875" style="57" customWidth="1"/>
    <col min="8" max="8" width="23.21875" style="57" customWidth="1"/>
    <col min="9" max="9" width="9.5546875" style="59" customWidth="1"/>
    <col min="10" max="10" width="10.77734375" style="58" customWidth="1"/>
    <col min="11" max="11" width="32.21875" style="57" customWidth="1"/>
    <col min="12" max="16384" width="9.21875" style="57"/>
  </cols>
  <sheetData>
    <row r="1" spans="1:11" ht="14.4" thickBot="1" x14ac:dyDescent="0.3">
      <c r="A1" s="95" t="s">
        <v>8</v>
      </c>
      <c r="B1" s="95"/>
      <c r="C1" s="95"/>
      <c r="D1" s="95"/>
      <c r="E1" s="95"/>
      <c r="F1" s="95"/>
      <c r="G1" s="95"/>
      <c r="H1" s="95"/>
      <c r="I1" s="95"/>
      <c r="J1" s="95"/>
      <c r="K1" s="96"/>
    </row>
    <row r="2" spans="1:11" ht="13.8" x14ac:dyDescent="0.25">
      <c r="A2" s="91" t="s">
        <v>0</v>
      </c>
      <c r="B2" s="88"/>
      <c r="C2" s="90"/>
      <c r="D2" s="80"/>
      <c r="E2" s="80"/>
      <c r="F2" s="80"/>
      <c r="G2" s="80"/>
      <c r="H2" s="80"/>
      <c r="I2" s="79"/>
      <c r="J2" s="89"/>
      <c r="K2" s="88" t="s">
        <v>97</v>
      </c>
    </row>
    <row r="3" spans="1:11" ht="13.8" x14ac:dyDescent="0.25">
      <c r="A3" s="86" t="s">
        <v>1</v>
      </c>
      <c r="B3" s="83" t="s">
        <v>98</v>
      </c>
      <c r="C3" s="87"/>
      <c r="D3" s="80"/>
      <c r="E3" s="80"/>
      <c r="F3" s="80"/>
      <c r="G3" s="80"/>
      <c r="H3" s="80"/>
      <c r="I3" s="79"/>
      <c r="J3" s="80"/>
      <c r="K3" s="83"/>
    </row>
    <row r="4" spans="1:11" ht="13.8" x14ac:dyDescent="0.25">
      <c r="A4" s="86" t="s">
        <v>14</v>
      </c>
      <c r="B4" s="154" t="s">
        <v>99</v>
      </c>
      <c r="C4" s="87"/>
      <c r="D4" s="80"/>
      <c r="E4" s="80"/>
      <c r="F4" s="80"/>
      <c r="G4" s="80"/>
      <c r="H4" s="80"/>
      <c r="I4" s="79"/>
      <c r="J4" s="80"/>
      <c r="K4" s="83"/>
    </row>
    <row r="5" spans="1:11" ht="13.8" x14ac:dyDescent="0.25">
      <c r="A5" s="86" t="s">
        <v>10</v>
      </c>
      <c r="B5" s="83" t="str">
        <f>MID(B4,5,10)</f>
        <v>1-2-HAR-A-</v>
      </c>
      <c r="C5" s="80"/>
      <c r="D5" s="80"/>
      <c r="E5" s="80"/>
      <c r="F5" s="80"/>
      <c r="G5" s="80"/>
      <c r="H5" s="80"/>
      <c r="I5" s="79"/>
      <c r="J5" s="80"/>
      <c r="K5" s="83"/>
    </row>
    <row r="6" spans="1:11" ht="13.8" x14ac:dyDescent="0.25">
      <c r="A6" s="86" t="s">
        <v>2</v>
      </c>
      <c r="B6" s="83" t="str">
        <f>MID(B4,5,5)</f>
        <v>1-2-H</v>
      </c>
      <c r="C6" s="80"/>
      <c r="D6" s="80"/>
      <c r="E6" s="80"/>
      <c r="F6" s="80"/>
      <c r="G6" s="80"/>
      <c r="H6" s="80"/>
      <c r="I6" s="79"/>
      <c r="J6" s="80"/>
      <c r="K6" s="83"/>
    </row>
    <row r="7" spans="1:11" ht="13.8" x14ac:dyDescent="0.25">
      <c r="A7" s="86" t="s">
        <v>3</v>
      </c>
      <c r="B7" s="83" t="str">
        <f>MID(B4,13,2)</f>
        <v>A-</v>
      </c>
      <c r="C7" s="80"/>
      <c r="D7" s="80"/>
      <c r="E7" s="80"/>
      <c r="F7" s="80"/>
      <c r="G7" s="80"/>
      <c r="H7" s="80"/>
      <c r="I7" s="79"/>
      <c r="J7" s="84" t="s">
        <v>4</v>
      </c>
      <c r="K7" s="83"/>
    </row>
    <row r="8" spans="1:11" ht="13.8" x14ac:dyDescent="0.25">
      <c r="A8" s="85" t="s">
        <v>9</v>
      </c>
      <c r="B8" s="154" t="s">
        <v>100</v>
      </c>
      <c r="C8" s="80"/>
      <c r="D8" s="80"/>
      <c r="E8" s="80"/>
      <c r="F8" s="80"/>
      <c r="G8" s="80"/>
      <c r="H8" s="80"/>
      <c r="I8" s="79"/>
      <c r="J8" s="84" t="s">
        <v>5</v>
      </c>
      <c r="K8" s="83"/>
    </row>
    <row r="9" spans="1:11" ht="13.8" x14ac:dyDescent="0.25">
      <c r="A9" s="82" t="s">
        <v>90</v>
      </c>
      <c r="B9" s="81" t="s">
        <v>95</v>
      </c>
      <c r="C9" s="80"/>
      <c r="D9" s="80"/>
      <c r="E9" s="80"/>
      <c r="F9" s="80"/>
      <c r="G9" s="80"/>
      <c r="H9" s="80"/>
      <c r="I9" s="79"/>
      <c r="J9" s="78" t="s">
        <v>6</v>
      </c>
      <c r="K9" s="94"/>
    </row>
    <row r="10" spans="1:11" ht="13.8" thickBot="1" x14ac:dyDescent="0.3">
      <c r="A10" s="77"/>
      <c r="B10" s="77"/>
      <c r="C10" s="75"/>
      <c r="D10" s="75"/>
      <c r="E10" s="75"/>
      <c r="F10" s="75"/>
      <c r="G10" s="75"/>
      <c r="H10" s="75"/>
      <c r="I10" s="76"/>
      <c r="J10" s="75"/>
      <c r="K10" s="74"/>
    </row>
    <row r="11" spans="1:11" x14ac:dyDescent="0.25">
      <c r="A11" s="73"/>
      <c r="B11" s="71"/>
      <c r="C11" s="71"/>
      <c r="D11" s="71"/>
      <c r="E11" s="71"/>
      <c r="F11" s="71"/>
      <c r="G11" s="71"/>
      <c r="H11" s="71"/>
      <c r="I11" s="72"/>
      <c r="J11" s="71"/>
      <c r="K11" s="70"/>
    </row>
    <row r="12" spans="1:11" ht="33.6" x14ac:dyDescent="0.4">
      <c r="A12" s="69" t="s">
        <v>101</v>
      </c>
      <c r="B12" s="69" t="s">
        <v>142</v>
      </c>
      <c r="C12" s="69" t="s">
        <v>180</v>
      </c>
      <c r="D12" s="69" t="s">
        <v>187</v>
      </c>
      <c r="E12" s="69" t="s">
        <v>222</v>
      </c>
      <c r="F12" s="69" t="s">
        <v>225</v>
      </c>
      <c r="G12" s="69" t="s">
        <v>254</v>
      </c>
      <c r="H12" s="69" t="s">
        <v>280</v>
      </c>
      <c r="I12" s="69" t="s">
        <v>316</v>
      </c>
      <c r="J12" s="69" t="s">
        <v>317</v>
      </c>
      <c r="K12" s="68" t="s">
        <v>7</v>
      </c>
    </row>
    <row r="13" spans="1:11" ht="50.4" x14ac:dyDescent="0.4">
      <c r="A13" s="62" t="s">
        <v>102</v>
      </c>
      <c r="B13" s="62" t="s">
        <v>143</v>
      </c>
      <c r="C13" s="62" t="s">
        <v>181</v>
      </c>
      <c r="D13" s="62" t="s">
        <v>188</v>
      </c>
      <c r="E13" s="62" t="s">
        <v>223</v>
      </c>
      <c r="F13" s="62" t="s">
        <v>226</v>
      </c>
      <c r="G13" s="62" t="s">
        <v>255</v>
      </c>
      <c r="H13" s="62" t="s">
        <v>281</v>
      </c>
      <c r="I13" s="63">
        <v>4</v>
      </c>
      <c r="J13" s="62" t="s">
        <v>318</v>
      </c>
      <c r="K13" s="66"/>
    </row>
    <row r="14" spans="1:11" ht="50.4" x14ac:dyDescent="0.4">
      <c r="A14" s="62" t="s">
        <v>103</v>
      </c>
      <c r="B14" s="62" t="s">
        <v>144</v>
      </c>
      <c r="C14" s="62" t="s">
        <v>182</v>
      </c>
      <c r="D14" s="62" t="s">
        <v>189</v>
      </c>
      <c r="E14" s="62" t="s">
        <v>223</v>
      </c>
      <c r="F14" s="62" t="s">
        <v>227</v>
      </c>
      <c r="G14" s="62" t="s">
        <v>256</v>
      </c>
      <c r="H14" s="62" t="s">
        <v>282</v>
      </c>
      <c r="I14" s="63">
        <v>1</v>
      </c>
      <c r="J14" s="62" t="s">
        <v>319</v>
      </c>
      <c r="K14" s="66"/>
    </row>
    <row r="15" spans="1:11" ht="50.4" x14ac:dyDescent="0.4">
      <c r="A15" s="62" t="s">
        <v>104</v>
      </c>
      <c r="B15" s="62" t="s">
        <v>145</v>
      </c>
      <c r="C15" s="62" t="s">
        <v>182</v>
      </c>
      <c r="D15" s="62" t="s">
        <v>190</v>
      </c>
      <c r="E15" s="62" t="s">
        <v>223</v>
      </c>
      <c r="F15" s="62" t="s">
        <v>228</v>
      </c>
      <c r="G15" s="62" t="s">
        <v>257</v>
      </c>
      <c r="H15" s="62" t="s">
        <v>283</v>
      </c>
      <c r="I15" s="63">
        <v>1</v>
      </c>
      <c r="J15" s="62" t="s">
        <v>320</v>
      </c>
      <c r="K15" s="66"/>
    </row>
    <row r="16" spans="1:11" ht="50.4" x14ac:dyDescent="0.4">
      <c r="A16" s="62" t="s">
        <v>105</v>
      </c>
      <c r="B16" s="62" t="s">
        <v>146</v>
      </c>
      <c r="C16" s="62" t="s">
        <v>181</v>
      </c>
      <c r="D16" s="62" t="s">
        <v>189</v>
      </c>
      <c r="E16" s="62" t="s">
        <v>223</v>
      </c>
      <c r="F16" s="62" t="s">
        <v>226</v>
      </c>
      <c r="G16" s="62" t="s">
        <v>258</v>
      </c>
      <c r="H16" s="62" t="s">
        <v>284</v>
      </c>
      <c r="I16" s="63">
        <v>4</v>
      </c>
      <c r="J16" s="62" t="s">
        <v>321</v>
      </c>
      <c r="K16" s="66"/>
    </row>
    <row r="17" spans="1:11" ht="50.4" x14ac:dyDescent="0.4">
      <c r="A17" s="62" t="s">
        <v>106</v>
      </c>
      <c r="B17" s="62" t="s">
        <v>147</v>
      </c>
      <c r="C17" s="62" t="s">
        <v>182</v>
      </c>
      <c r="D17" s="62" t="s">
        <v>191</v>
      </c>
      <c r="E17" s="62" t="s">
        <v>223</v>
      </c>
      <c r="F17" s="62" t="s">
        <v>226</v>
      </c>
      <c r="G17" s="62" t="s">
        <v>259</v>
      </c>
      <c r="H17" s="62" t="s">
        <v>285</v>
      </c>
      <c r="I17" s="63">
        <v>1</v>
      </c>
      <c r="J17" s="62" t="s">
        <v>322</v>
      </c>
      <c r="K17" s="66"/>
    </row>
    <row r="18" spans="1:11" ht="50.4" x14ac:dyDescent="0.4">
      <c r="A18" s="62" t="s">
        <v>107</v>
      </c>
      <c r="B18" s="62" t="s">
        <v>148</v>
      </c>
      <c r="C18" s="62" t="s">
        <v>181</v>
      </c>
      <c r="D18" s="62" t="s">
        <v>189</v>
      </c>
      <c r="E18" s="62" t="s">
        <v>223</v>
      </c>
      <c r="F18" s="62" t="s">
        <v>226</v>
      </c>
      <c r="G18" s="62" t="s">
        <v>260</v>
      </c>
      <c r="H18" s="62" t="s">
        <v>286</v>
      </c>
      <c r="I18" s="63">
        <v>2</v>
      </c>
      <c r="J18" s="62" t="s">
        <v>323</v>
      </c>
      <c r="K18" s="66"/>
    </row>
    <row r="19" spans="1:11" ht="50.4" x14ac:dyDescent="0.4">
      <c r="A19" s="62" t="s">
        <v>108</v>
      </c>
      <c r="B19" s="62" t="s">
        <v>149</v>
      </c>
      <c r="C19" s="62" t="s">
        <v>182</v>
      </c>
      <c r="D19" s="62" t="s">
        <v>192</v>
      </c>
      <c r="E19" s="62" t="s">
        <v>223</v>
      </c>
      <c r="F19" s="62" t="s">
        <v>229</v>
      </c>
      <c r="G19" s="62" t="s">
        <v>261</v>
      </c>
      <c r="H19" s="62" t="s">
        <v>287</v>
      </c>
      <c r="I19" s="63">
        <v>1</v>
      </c>
      <c r="J19" s="62" t="s">
        <v>324</v>
      </c>
      <c r="K19" s="66"/>
    </row>
    <row r="20" spans="1:11" ht="84" x14ac:dyDescent="0.4">
      <c r="A20" s="62" t="s">
        <v>109</v>
      </c>
      <c r="B20" s="62" t="s">
        <v>149</v>
      </c>
      <c r="C20" s="62" t="s">
        <v>181</v>
      </c>
      <c r="D20" s="62" t="s">
        <v>193</v>
      </c>
      <c r="E20" s="62" t="s">
        <v>223</v>
      </c>
      <c r="F20" s="62" t="s">
        <v>230</v>
      </c>
      <c r="G20" s="62" t="s">
        <v>258</v>
      </c>
      <c r="H20" s="62" t="s">
        <v>288</v>
      </c>
      <c r="I20" s="63">
        <v>1</v>
      </c>
      <c r="J20" s="62" t="s">
        <v>325</v>
      </c>
      <c r="K20" s="66"/>
    </row>
    <row r="21" spans="1:11" ht="50.4" x14ac:dyDescent="0.4">
      <c r="A21" s="62" t="s">
        <v>110</v>
      </c>
      <c r="B21" s="62" t="s">
        <v>150</v>
      </c>
      <c r="C21" s="62" t="s">
        <v>182</v>
      </c>
      <c r="D21" s="62" t="s">
        <v>194</v>
      </c>
      <c r="E21" s="62" t="s">
        <v>223</v>
      </c>
      <c r="F21" s="62" t="s">
        <v>231</v>
      </c>
      <c r="G21" s="62" t="s">
        <v>262</v>
      </c>
      <c r="H21" s="62"/>
      <c r="I21" s="63">
        <v>1</v>
      </c>
      <c r="J21" s="62"/>
      <c r="K21" s="66"/>
    </row>
    <row r="22" spans="1:11" ht="84" x14ac:dyDescent="0.4">
      <c r="A22" s="62" t="s">
        <v>111</v>
      </c>
      <c r="B22" s="62" t="s">
        <v>151</v>
      </c>
      <c r="C22" s="62" t="s">
        <v>182</v>
      </c>
      <c r="D22" s="62" t="s">
        <v>195</v>
      </c>
      <c r="E22" s="62" t="s">
        <v>223</v>
      </c>
      <c r="F22" s="62" t="s">
        <v>232</v>
      </c>
      <c r="G22" s="62" t="s">
        <v>263</v>
      </c>
      <c r="H22" s="62">
        <v>1984617</v>
      </c>
      <c r="I22" s="63">
        <v>4</v>
      </c>
      <c r="J22" s="62" t="s">
        <v>326</v>
      </c>
      <c r="K22" s="66"/>
    </row>
    <row r="23" spans="1:11" ht="50.4" x14ac:dyDescent="0.4">
      <c r="A23" s="62" t="s">
        <v>112</v>
      </c>
      <c r="B23" s="62" t="s">
        <v>152</v>
      </c>
      <c r="C23" s="62" t="s">
        <v>182</v>
      </c>
      <c r="D23" s="62" t="s">
        <v>196</v>
      </c>
      <c r="E23" s="62" t="s">
        <v>223</v>
      </c>
      <c r="F23" s="62" t="s">
        <v>233</v>
      </c>
      <c r="G23" s="62" t="s">
        <v>264</v>
      </c>
      <c r="H23" s="62" t="s">
        <v>289</v>
      </c>
      <c r="I23" s="63">
        <v>1</v>
      </c>
      <c r="J23" s="62"/>
      <c r="K23" s="66"/>
    </row>
    <row r="24" spans="1:11" ht="84" x14ac:dyDescent="0.4">
      <c r="A24" s="62" t="s">
        <v>113</v>
      </c>
      <c r="B24" s="62" t="s">
        <v>153</v>
      </c>
      <c r="C24" s="62" t="s">
        <v>182</v>
      </c>
      <c r="D24" s="62" t="s">
        <v>197</v>
      </c>
      <c r="E24" s="62" t="s">
        <v>223</v>
      </c>
      <c r="F24" s="62" t="s">
        <v>234</v>
      </c>
      <c r="G24" s="62" t="s">
        <v>265</v>
      </c>
      <c r="H24" s="62" t="s">
        <v>290</v>
      </c>
      <c r="I24" s="63">
        <v>1</v>
      </c>
      <c r="J24" s="62" t="s">
        <v>327</v>
      </c>
      <c r="K24" s="66"/>
    </row>
    <row r="25" spans="1:11" ht="50.4" x14ac:dyDescent="0.4">
      <c r="A25" s="62" t="s">
        <v>114</v>
      </c>
      <c r="B25" s="62" t="s">
        <v>154</v>
      </c>
      <c r="C25" s="62" t="s">
        <v>182</v>
      </c>
      <c r="D25" s="62" t="s">
        <v>198</v>
      </c>
      <c r="E25" s="62" t="s">
        <v>223</v>
      </c>
      <c r="F25" s="62" t="s">
        <v>235</v>
      </c>
      <c r="G25" s="62" t="s">
        <v>266</v>
      </c>
      <c r="H25" s="62" t="s">
        <v>291</v>
      </c>
      <c r="I25" s="63">
        <v>1</v>
      </c>
      <c r="J25" s="62" t="s">
        <v>328</v>
      </c>
      <c r="K25" s="66"/>
    </row>
    <row r="26" spans="1:11" ht="50.4" x14ac:dyDescent="0.4">
      <c r="A26" s="62" t="s">
        <v>115</v>
      </c>
      <c r="B26" s="62" t="s">
        <v>155</v>
      </c>
      <c r="C26" s="62" t="s">
        <v>182</v>
      </c>
      <c r="D26" s="62" t="s">
        <v>198</v>
      </c>
      <c r="E26" s="62" t="s">
        <v>223</v>
      </c>
      <c r="F26" s="62" t="s">
        <v>236</v>
      </c>
      <c r="G26" s="62" t="s">
        <v>266</v>
      </c>
      <c r="H26" s="62" t="s">
        <v>292</v>
      </c>
      <c r="I26" s="63">
        <v>1</v>
      </c>
      <c r="J26" s="62" t="s">
        <v>328</v>
      </c>
      <c r="K26" s="66"/>
    </row>
    <row r="27" spans="1:11" ht="33.6" x14ac:dyDescent="0.4">
      <c r="A27" s="62" t="s">
        <v>116</v>
      </c>
      <c r="B27" s="62" t="s">
        <v>156</v>
      </c>
      <c r="C27" s="62" t="s">
        <v>183</v>
      </c>
      <c r="D27" s="62" t="s">
        <v>199</v>
      </c>
      <c r="E27" s="62" t="s">
        <v>224</v>
      </c>
      <c r="F27" s="62" t="s">
        <v>237</v>
      </c>
      <c r="G27" s="62" t="s">
        <v>267</v>
      </c>
      <c r="H27" s="62" t="s">
        <v>293</v>
      </c>
      <c r="I27" s="63">
        <v>1</v>
      </c>
      <c r="J27" s="62" t="s">
        <v>329</v>
      </c>
      <c r="K27" s="66"/>
    </row>
    <row r="28" spans="1:11" ht="50.4" x14ac:dyDescent="0.4">
      <c r="A28" s="62" t="s">
        <v>117</v>
      </c>
      <c r="B28" s="62" t="s">
        <v>157</v>
      </c>
      <c r="C28" s="62" t="s">
        <v>182</v>
      </c>
      <c r="D28" s="62" t="s">
        <v>200</v>
      </c>
      <c r="E28" s="62" t="s">
        <v>223</v>
      </c>
      <c r="F28" s="62" t="s">
        <v>238</v>
      </c>
      <c r="G28" s="62" t="s">
        <v>268</v>
      </c>
      <c r="H28" s="62" t="s">
        <v>294</v>
      </c>
      <c r="I28" s="63">
        <v>1</v>
      </c>
      <c r="J28" s="62" t="s">
        <v>330</v>
      </c>
      <c r="K28" s="66"/>
    </row>
    <row r="29" spans="1:11" ht="50.4" x14ac:dyDescent="0.4">
      <c r="A29" s="62" t="s">
        <v>118</v>
      </c>
      <c r="B29" s="62" t="s">
        <v>158</v>
      </c>
      <c r="C29" s="62" t="s">
        <v>182</v>
      </c>
      <c r="D29" s="62" t="s">
        <v>201</v>
      </c>
      <c r="E29" s="62" t="s">
        <v>223</v>
      </c>
      <c r="F29" s="62" t="s">
        <v>238</v>
      </c>
      <c r="G29" s="62" t="s">
        <v>269</v>
      </c>
      <c r="H29" s="62" t="s">
        <v>295</v>
      </c>
      <c r="I29" s="63">
        <v>1</v>
      </c>
      <c r="J29" s="62" t="s">
        <v>331</v>
      </c>
      <c r="K29" s="66"/>
    </row>
    <row r="30" spans="1:11" ht="50.4" x14ac:dyDescent="0.4">
      <c r="A30" s="62" t="s">
        <v>119</v>
      </c>
      <c r="B30" s="62" t="s">
        <v>157</v>
      </c>
      <c r="C30" s="62" t="s">
        <v>181</v>
      </c>
      <c r="D30" s="62" t="s">
        <v>202</v>
      </c>
      <c r="E30" s="62" t="s">
        <v>223</v>
      </c>
      <c r="F30" s="62" t="s">
        <v>239</v>
      </c>
      <c r="G30" s="62" t="s">
        <v>270</v>
      </c>
      <c r="H30" s="62" t="s">
        <v>296</v>
      </c>
      <c r="I30" s="63">
        <v>2</v>
      </c>
      <c r="J30" s="62" t="s">
        <v>332</v>
      </c>
      <c r="K30" s="66"/>
    </row>
    <row r="31" spans="1:11" ht="50.4" x14ac:dyDescent="0.4">
      <c r="A31" s="62" t="s">
        <v>120</v>
      </c>
      <c r="B31" s="62" t="s">
        <v>159</v>
      </c>
      <c r="C31" s="62" t="s">
        <v>182</v>
      </c>
      <c r="D31" s="62" t="s">
        <v>203</v>
      </c>
      <c r="E31" s="62" t="s">
        <v>223</v>
      </c>
      <c r="F31" s="62" t="s">
        <v>240</v>
      </c>
      <c r="G31" s="62" t="s">
        <v>256</v>
      </c>
      <c r="H31" s="62" t="s">
        <v>297</v>
      </c>
      <c r="I31" s="63">
        <v>1</v>
      </c>
      <c r="J31" s="62" t="s">
        <v>333</v>
      </c>
      <c r="K31" s="66"/>
    </row>
    <row r="32" spans="1:11" ht="67.2" x14ac:dyDescent="0.4">
      <c r="A32" s="62" t="s">
        <v>121</v>
      </c>
      <c r="B32" s="62" t="s">
        <v>160</v>
      </c>
      <c r="C32" s="62" t="s">
        <v>182</v>
      </c>
      <c r="D32" s="62" t="s">
        <v>204</v>
      </c>
      <c r="E32" s="62" t="s">
        <v>223</v>
      </c>
      <c r="F32" s="62" t="s">
        <v>241</v>
      </c>
      <c r="G32" s="62" t="s">
        <v>256</v>
      </c>
      <c r="H32" s="62" t="s">
        <v>298</v>
      </c>
      <c r="I32" s="63">
        <v>1</v>
      </c>
      <c r="J32" s="62">
        <v>383</v>
      </c>
      <c r="K32" s="66"/>
    </row>
    <row r="33" spans="1:11" ht="67.2" x14ac:dyDescent="0.4">
      <c r="A33" s="62" t="s">
        <v>122</v>
      </c>
      <c r="B33" s="62" t="s">
        <v>161</v>
      </c>
      <c r="C33" s="62" t="s">
        <v>182</v>
      </c>
      <c r="D33" s="62" t="s">
        <v>205</v>
      </c>
      <c r="E33" s="62" t="s">
        <v>223</v>
      </c>
      <c r="F33" s="62" t="s">
        <v>241</v>
      </c>
      <c r="G33" s="62" t="s">
        <v>256</v>
      </c>
      <c r="H33" s="62" t="s">
        <v>299</v>
      </c>
      <c r="I33" s="63">
        <v>2</v>
      </c>
      <c r="J33" s="62" t="s">
        <v>334</v>
      </c>
      <c r="K33" s="66"/>
    </row>
    <row r="34" spans="1:11" ht="67.2" x14ac:dyDescent="0.4">
      <c r="A34" s="62" t="s">
        <v>123</v>
      </c>
      <c r="B34" s="62" t="s">
        <v>162</v>
      </c>
      <c r="C34" s="62" t="s">
        <v>182</v>
      </c>
      <c r="D34" s="62" t="s">
        <v>206</v>
      </c>
      <c r="E34" s="62" t="s">
        <v>223</v>
      </c>
      <c r="F34" s="62" t="s">
        <v>241</v>
      </c>
      <c r="G34" s="62" t="s">
        <v>256</v>
      </c>
      <c r="H34" s="62" t="s">
        <v>300</v>
      </c>
      <c r="I34" s="63">
        <v>2</v>
      </c>
      <c r="J34" s="62">
        <v>100</v>
      </c>
      <c r="K34" s="66"/>
    </row>
    <row r="35" spans="1:11" ht="67.2" x14ac:dyDescent="0.4">
      <c r="A35" s="62" t="s">
        <v>124</v>
      </c>
      <c r="B35" s="62" t="s">
        <v>163</v>
      </c>
      <c r="C35" s="62" t="s">
        <v>182</v>
      </c>
      <c r="D35" s="62" t="s">
        <v>204</v>
      </c>
      <c r="E35" s="62" t="s">
        <v>223</v>
      </c>
      <c r="F35" s="62" t="s">
        <v>241</v>
      </c>
      <c r="G35" s="62" t="s">
        <v>256</v>
      </c>
      <c r="H35" s="62" t="s">
        <v>301</v>
      </c>
      <c r="I35" s="63">
        <v>1</v>
      </c>
      <c r="J35" s="62" t="s">
        <v>335</v>
      </c>
      <c r="K35" s="66"/>
    </row>
    <row r="36" spans="1:11" ht="67.2" x14ac:dyDescent="0.4">
      <c r="A36" s="62" t="s">
        <v>125</v>
      </c>
      <c r="B36" s="62" t="s">
        <v>164</v>
      </c>
      <c r="C36" s="62" t="s">
        <v>182</v>
      </c>
      <c r="D36" s="62" t="s">
        <v>207</v>
      </c>
      <c r="E36" s="62" t="s">
        <v>223</v>
      </c>
      <c r="F36" s="62" t="s">
        <v>241</v>
      </c>
      <c r="G36" s="62" t="s">
        <v>256</v>
      </c>
      <c r="H36" s="62" t="s">
        <v>302</v>
      </c>
      <c r="I36" s="63">
        <v>2</v>
      </c>
      <c r="J36" s="62">
        <v>560</v>
      </c>
      <c r="K36" s="66"/>
    </row>
    <row r="37" spans="1:11" ht="67.2" x14ac:dyDescent="0.4">
      <c r="A37" s="62" t="s">
        <v>126</v>
      </c>
      <c r="B37" s="62" t="s">
        <v>165</v>
      </c>
      <c r="C37" s="62" t="s">
        <v>182</v>
      </c>
      <c r="D37" s="62" t="s">
        <v>208</v>
      </c>
      <c r="E37" s="62" t="s">
        <v>223</v>
      </c>
      <c r="F37" s="62" t="s">
        <v>241</v>
      </c>
      <c r="G37" s="62" t="s">
        <v>256</v>
      </c>
      <c r="H37" s="62" t="s">
        <v>303</v>
      </c>
      <c r="I37" s="63">
        <v>1</v>
      </c>
      <c r="J37" s="62">
        <v>330</v>
      </c>
      <c r="K37" s="66"/>
    </row>
    <row r="38" spans="1:11" ht="67.2" x14ac:dyDescent="0.4">
      <c r="A38" s="62" t="s">
        <v>127</v>
      </c>
      <c r="B38" s="62" t="s">
        <v>166</v>
      </c>
      <c r="C38" s="62" t="s">
        <v>182</v>
      </c>
      <c r="D38" s="62" t="s">
        <v>209</v>
      </c>
      <c r="E38" s="62" t="s">
        <v>224</v>
      </c>
      <c r="F38" s="62" t="s">
        <v>241</v>
      </c>
      <c r="G38" s="62" t="s">
        <v>256</v>
      </c>
      <c r="H38" s="62" t="s">
        <v>304</v>
      </c>
      <c r="I38" s="63">
        <v>1</v>
      </c>
      <c r="J38" s="62">
        <v>100</v>
      </c>
      <c r="K38" s="66"/>
    </row>
    <row r="39" spans="1:11" ht="67.2" x14ac:dyDescent="0.4">
      <c r="A39" s="62" t="s">
        <v>128</v>
      </c>
      <c r="B39" s="62" t="s">
        <v>167</v>
      </c>
      <c r="C39" s="62" t="s">
        <v>182</v>
      </c>
      <c r="D39" s="62" t="s">
        <v>210</v>
      </c>
      <c r="E39" s="62" t="s">
        <v>223</v>
      </c>
      <c r="F39" s="62" t="s">
        <v>241</v>
      </c>
      <c r="G39" s="62" t="s">
        <v>256</v>
      </c>
      <c r="H39" s="62" t="s">
        <v>305</v>
      </c>
      <c r="I39" s="63">
        <v>1</v>
      </c>
      <c r="J39" s="62">
        <v>510</v>
      </c>
      <c r="K39" s="66"/>
    </row>
    <row r="40" spans="1:11" ht="67.2" x14ac:dyDescent="0.4">
      <c r="A40" s="62" t="s">
        <v>129</v>
      </c>
      <c r="B40" s="62" t="s">
        <v>168</v>
      </c>
      <c r="C40" s="62" t="s">
        <v>182</v>
      </c>
      <c r="D40" s="62" t="s">
        <v>211</v>
      </c>
      <c r="E40" s="62" t="s">
        <v>223</v>
      </c>
      <c r="F40" s="62" t="s">
        <v>241</v>
      </c>
      <c r="G40" s="62" t="s">
        <v>256</v>
      </c>
      <c r="H40" s="62" t="s">
        <v>306</v>
      </c>
      <c r="I40" s="63">
        <v>11</v>
      </c>
      <c r="J40" s="62" t="s">
        <v>333</v>
      </c>
      <c r="K40" s="66"/>
    </row>
    <row r="41" spans="1:11" ht="67.2" x14ac:dyDescent="0.4">
      <c r="A41" s="62" t="s">
        <v>130</v>
      </c>
      <c r="B41" s="62" t="s">
        <v>169</v>
      </c>
      <c r="C41" s="62" t="s">
        <v>182</v>
      </c>
      <c r="D41" s="62" t="s">
        <v>212</v>
      </c>
      <c r="E41" s="62" t="s">
        <v>223</v>
      </c>
      <c r="F41" s="62" t="s">
        <v>242</v>
      </c>
      <c r="G41" s="62" t="s">
        <v>271</v>
      </c>
      <c r="H41" s="62" t="s">
        <v>307</v>
      </c>
      <c r="I41" s="63">
        <v>1</v>
      </c>
      <c r="J41" s="62" t="s">
        <v>336</v>
      </c>
      <c r="K41" s="66"/>
    </row>
    <row r="42" spans="1:11" ht="33.6" x14ac:dyDescent="0.4">
      <c r="A42" s="62" t="s">
        <v>131</v>
      </c>
      <c r="B42" s="62" t="s">
        <v>170</v>
      </c>
      <c r="C42" s="62" t="s">
        <v>184</v>
      </c>
      <c r="D42" s="62" t="s">
        <v>213</v>
      </c>
      <c r="E42" s="62" t="s">
        <v>223</v>
      </c>
      <c r="F42" s="62" t="s">
        <v>243</v>
      </c>
      <c r="G42" s="62" t="s">
        <v>272</v>
      </c>
      <c r="H42" s="62" t="s">
        <v>308</v>
      </c>
      <c r="I42" s="63">
        <v>2</v>
      </c>
      <c r="J42" s="62"/>
      <c r="K42" s="66"/>
    </row>
    <row r="43" spans="1:11" ht="50.4" x14ac:dyDescent="0.4">
      <c r="A43" s="62" t="s">
        <v>132</v>
      </c>
      <c r="B43" s="62" t="s">
        <v>171</v>
      </c>
      <c r="C43" s="62" t="s">
        <v>182</v>
      </c>
      <c r="D43" s="62" t="s">
        <v>214</v>
      </c>
      <c r="E43" s="62" t="s">
        <v>223</v>
      </c>
      <c r="F43" s="62" t="s">
        <v>244</v>
      </c>
      <c r="G43" s="62" t="s">
        <v>273</v>
      </c>
      <c r="H43" s="62" t="s">
        <v>309</v>
      </c>
      <c r="I43" s="63">
        <v>1</v>
      </c>
      <c r="J43" s="62"/>
      <c r="K43" s="66"/>
    </row>
    <row r="44" spans="1:11" ht="16.8" x14ac:dyDescent="0.4">
      <c r="A44" s="62" t="s">
        <v>133</v>
      </c>
      <c r="B44" s="62"/>
      <c r="C44" s="62"/>
      <c r="D44" s="62"/>
      <c r="E44" s="62"/>
      <c r="F44" s="62" t="s">
        <v>245</v>
      </c>
      <c r="G44" s="62"/>
      <c r="H44" s="62"/>
      <c r="I44" s="63">
        <v>2</v>
      </c>
      <c r="J44" s="62"/>
      <c r="K44" s="66"/>
    </row>
    <row r="45" spans="1:11" ht="33.6" x14ac:dyDescent="0.4">
      <c r="A45" s="62" t="s">
        <v>134</v>
      </c>
      <c r="B45" s="62" t="s">
        <v>172</v>
      </c>
      <c r="C45" s="62" t="s">
        <v>185</v>
      </c>
      <c r="D45" s="62" t="s">
        <v>215</v>
      </c>
      <c r="E45" s="62" t="s">
        <v>223</v>
      </c>
      <c r="F45" s="62" t="s">
        <v>246</v>
      </c>
      <c r="G45" s="62" t="s">
        <v>274</v>
      </c>
      <c r="H45" s="62" t="s">
        <v>310</v>
      </c>
      <c r="I45" s="63">
        <v>1</v>
      </c>
      <c r="J45" s="62"/>
      <c r="K45" s="66"/>
    </row>
    <row r="46" spans="1:11" ht="50.4" x14ac:dyDescent="0.4">
      <c r="A46" s="62" t="s">
        <v>135</v>
      </c>
      <c r="B46" s="62" t="s">
        <v>173</v>
      </c>
      <c r="C46" s="62" t="s">
        <v>182</v>
      </c>
      <c r="D46" s="62" t="s">
        <v>216</v>
      </c>
      <c r="E46" s="62" t="s">
        <v>223</v>
      </c>
      <c r="F46" s="62" t="s">
        <v>247</v>
      </c>
      <c r="G46" s="62" t="s">
        <v>275</v>
      </c>
      <c r="H46" s="62"/>
      <c r="I46" s="63">
        <v>1</v>
      </c>
      <c r="J46" s="62"/>
      <c r="K46" s="66"/>
    </row>
    <row r="47" spans="1:11" ht="84" x14ac:dyDescent="0.4">
      <c r="A47" s="62" t="s">
        <v>136</v>
      </c>
      <c r="B47" s="62" t="s">
        <v>174</v>
      </c>
      <c r="C47" s="62" t="s">
        <v>182</v>
      </c>
      <c r="D47" s="62" t="s">
        <v>217</v>
      </c>
      <c r="E47" s="62" t="s">
        <v>223</v>
      </c>
      <c r="F47" s="62" t="s">
        <v>248</v>
      </c>
      <c r="G47" s="62" t="s">
        <v>276</v>
      </c>
      <c r="H47" s="62"/>
      <c r="I47" s="63">
        <v>1</v>
      </c>
      <c r="J47" s="62"/>
      <c r="K47" s="66"/>
    </row>
    <row r="48" spans="1:11" ht="67.2" x14ac:dyDescent="0.4">
      <c r="A48" s="62" t="s">
        <v>137</v>
      </c>
      <c r="B48" s="62" t="s">
        <v>175</v>
      </c>
      <c r="C48" s="62" t="s">
        <v>181</v>
      </c>
      <c r="D48" s="62" t="s">
        <v>218</v>
      </c>
      <c r="E48" s="62" t="s">
        <v>223</v>
      </c>
      <c r="F48" s="62" t="s">
        <v>249</v>
      </c>
      <c r="G48" s="62" t="s">
        <v>275</v>
      </c>
      <c r="H48" s="62" t="s">
        <v>311</v>
      </c>
      <c r="I48" s="63">
        <v>1</v>
      </c>
      <c r="J48" s="62" t="s">
        <v>337</v>
      </c>
      <c r="K48" s="66"/>
    </row>
    <row r="49" spans="1:11" ht="67.2" x14ac:dyDescent="0.4">
      <c r="A49" s="62" t="s">
        <v>138</v>
      </c>
      <c r="B49" s="62" t="s">
        <v>176</v>
      </c>
      <c r="C49" s="62" t="s">
        <v>182</v>
      </c>
      <c r="D49" s="62" t="s">
        <v>219</v>
      </c>
      <c r="E49" s="62" t="s">
        <v>223</v>
      </c>
      <c r="F49" s="62" t="s">
        <v>250</v>
      </c>
      <c r="G49" s="62" t="s">
        <v>268</v>
      </c>
      <c r="H49" s="62" t="s">
        <v>312</v>
      </c>
      <c r="I49" s="63">
        <v>1</v>
      </c>
      <c r="J49" s="62" t="s">
        <v>338</v>
      </c>
      <c r="K49" s="66"/>
    </row>
    <row r="50" spans="1:11" ht="84" x14ac:dyDescent="0.4">
      <c r="A50" s="62" t="s">
        <v>139</v>
      </c>
      <c r="B50" s="62" t="s">
        <v>177</v>
      </c>
      <c r="C50" s="62" t="s">
        <v>181</v>
      </c>
      <c r="D50" s="62" t="s">
        <v>220</v>
      </c>
      <c r="E50" s="62" t="s">
        <v>223</v>
      </c>
      <c r="F50" s="62" t="s">
        <v>251</v>
      </c>
      <c r="G50" s="62" t="s">
        <v>277</v>
      </c>
      <c r="H50" s="62" t="s">
        <v>313</v>
      </c>
      <c r="I50" s="63">
        <v>1</v>
      </c>
      <c r="J50" s="62" t="s">
        <v>339</v>
      </c>
      <c r="K50" s="66"/>
    </row>
    <row r="51" spans="1:11" ht="100.8" x14ac:dyDescent="0.4">
      <c r="A51" s="62" t="s">
        <v>140</v>
      </c>
      <c r="B51" s="62" t="s">
        <v>178</v>
      </c>
      <c r="C51" s="62" t="s">
        <v>182</v>
      </c>
      <c r="D51" s="62" t="s">
        <v>221</v>
      </c>
      <c r="E51" s="62" t="s">
        <v>223</v>
      </c>
      <c r="F51" s="62" t="s">
        <v>252</v>
      </c>
      <c r="G51" s="62" t="s">
        <v>278</v>
      </c>
      <c r="H51" s="62" t="s">
        <v>314</v>
      </c>
      <c r="I51" s="63">
        <v>1</v>
      </c>
      <c r="J51" s="62" t="s">
        <v>340</v>
      </c>
      <c r="K51" s="66"/>
    </row>
    <row r="52" spans="1:11" ht="33.6" x14ac:dyDescent="0.4">
      <c r="A52" s="62" t="s">
        <v>141</v>
      </c>
      <c r="B52" s="62" t="s">
        <v>179</v>
      </c>
      <c r="C52" s="62" t="s">
        <v>186</v>
      </c>
      <c r="D52" s="62"/>
      <c r="E52" s="62" t="s">
        <v>223</v>
      </c>
      <c r="F52" s="62" t="s">
        <v>253</v>
      </c>
      <c r="G52" s="62" t="s">
        <v>279</v>
      </c>
      <c r="H52" s="62" t="s">
        <v>315</v>
      </c>
      <c r="I52" s="63">
        <v>1</v>
      </c>
      <c r="J52" s="62"/>
      <c r="K52" s="66"/>
    </row>
    <row r="53" spans="1:11" ht="16.8" x14ac:dyDescent="0.4">
      <c r="A53" s="62"/>
      <c r="B53" s="62"/>
      <c r="C53" s="62"/>
      <c r="D53" s="62"/>
      <c r="E53" s="62"/>
      <c r="F53" s="62"/>
      <c r="G53" s="62"/>
      <c r="H53" s="62"/>
      <c r="I53" s="63"/>
      <c r="J53" s="62"/>
      <c r="K53" s="66"/>
    </row>
    <row r="54" spans="1:11" ht="16.8" x14ac:dyDescent="0.4">
      <c r="A54" s="62"/>
      <c r="B54" s="62"/>
      <c r="C54" s="62"/>
      <c r="D54" s="62"/>
      <c r="E54" s="62"/>
      <c r="F54" s="62"/>
      <c r="G54" s="62"/>
      <c r="H54" s="62"/>
      <c r="I54" s="63"/>
      <c r="J54" s="62"/>
      <c r="K54" s="66"/>
    </row>
    <row r="55" spans="1:11" ht="16.8" x14ac:dyDescent="0.4">
      <c r="A55" s="62"/>
      <c r="B55" s="62"/>
      <c r="C55" s="62"/>
      <c r="D55" s="62"/>
      <c r="E55" s="62"/>
      <c r="F55" s="62"/>
      <c r="G55" s="62"/>
      <c r="H55" s="62"/>
      <c r="I55" s="63"/>
      <c r="J55" s="62"/>
      <c r="K55" s="66"/>
    </row>
    <row r="56" spans="1:11" ht="16.8" x14ac:dyDescent="0.4">
      <c r="A56" s="62"/>
      <c r="B56" s="62"/>
      <c r="C56" s="62"/>
      <c r="D56" s="62"/>
      <c r="E56" s="62"/>
      <c r="F56" s="62"/>
      <c r="G56" s="62"/>
      <c r="H56" s="62"/>
      <c r="I56" s="63"/>
      <c r="J56" s="62"/>
      <c r="K56" s="66"/>
    </row>
    <row r="57" spans="1:11" ht="16.8" x14ac:dyDescent="0.4">
      <c r="A57" s="62"/>
      <c r="B57" s="62"/>
      <c r="C57" s="62"/>
      <c r="D57" s="62"/>
      <c r="E57" s="62"/>
      <c r="F57" s="62"/>
      <c r="G57" s="62"/>
      <c r="H57" s="62"/>
      <c r="I57" s="63"/>
      <c r="J57" s="62"/>
      <c r="K57" s="66"/>
    </row>
    <row r="58" spans="1:11" ht="16.8" x14ac:dyDescent="0.4">
      <c r="A58" s="62"/>
      <c r="B58" s="62"/>
      <c r="C58" s="62"/>
      <c r="D58" s="62"/>
      <c r="E58" s="62"/>
      <c r="F58" s="62"/>
      <c r="G58" s="62"/>
      <c r="H58" s="62"/>
      <c r="I58" s="63"/>
      <c r="J58" s="62"/>
      <c r="K58" s="66"/>
    </row>
    <row r="59" spans="1:11" ht="16.8" x14ac:dyDescent="0.4">
      <c r="A59" s="62"/>
      <c r="B59" s="62"/>
      <c r="C59" s="62"/>
      <c r="D59" s="62"/>
      <c r="E59" s="62"/>
      <c r="F59" s="62"/>
      <c r="G59" s="62"/>
      <c r="H59" s="62"/>
      <c r="I59" s="63"/>
      <c r="J59" s="62"/>
      <c r="K59" s="66"/>
    </row>
    <row r="60" spans="1:11" ht="16.8" x14ac:dyDescent="0.4">
      <c r="A60" s="62"/>
      <c r="B60" s="62"/>
      <c r="C60" s="62"/>
      <c r="D60" s="62"/>
      <c r="E60" s="62"/>
      <c r="F60" s="62"/>
      <c r="G60" s="62"/>
      <c r="H60" s="62"/>
      <c r="I60" s="63"/>
      <c r="J60" s="62"/>
      <c r="K60" s="66"/>
    </row>
    <row r="61" spans="1:11" ht="16.8" x14ac:dyDescent="0.4">
      <c r="A61" s="62"/>
      <c r="B61" s="62"/>
      <c r="C61" s="62"/>
      <c r="D61" s="62"/>
      <c r="E61" s="62"/>
      <c r="F61" s="62"/>
      <c r="G61" s="62"/>
      <c r="H61" s="62"/>
      <c r="I61" s="63"/>
      <c r="J61" s="62"/>
      <c r="K61" s="66"/>
    </row>
    <row r="62" spans="1:11" ht="16.8" x14ac:dyDescent="0.4">
      <c r="A62" s="62"/>
      <c r="B62" s="62"/>
      <c r="C62" s="62"/>
      <c r="D62" s="62"/>
      <c r="E62" s="62"/>
      <c r="F62" s="62"/>
      <c r="G62" s="62"/>
      <c r="H62" s="62"/>
      <c r="I62" s="63"/>
      <c r="J62" s="62"/>
      <c r="K62" s="66"/>
    </row>
    <row r="63" spans="1:11" ht="16.8" x14ac:dyDescent="0.4">
      <c r="A63" s="62"/>
      <c r="B63" s="62"/>
      <c r="C63" s="62"/>
      <c r="D63" s="62"/>
      <c r="E63" s="62"/>
      <c r="F63" s="62"/>
      <c r="G63" s="62"/>
      <c r="H63" s="62"/>
      <c r="I63" s="63"/>
      <c r="J63" s="62"/>
      <c r="K63" s="66"/>
    </row>
    <row r="64" spans="1:11" ht="16.8" x14ac:dyDescent="0.4">
      <c r="A64" s="62"/>
      <c r="B64" s="62"/>
      <c r="C64" s="62"/>
      <c r="D64" s="62"/>
      <c r="E64" s="62"/>
      <c r="F64" s="62"/>
      <c r="G64" s="62"/>
      <c r="H64" s="62"/>
      <c r="I64" s="63"/>
      <c r="J64" s="62"/>
      <c r="K64" s="66"/>
    </row>
    <row r="65" spans="1:11" ht="16.8" x14ac:dyDescent="0.4">
      <c r="A65" s="62"/>
      <c r="B65" s="62"/>
      <c r="C65" s="62"/>
      <c r="D65" s="62"/>
      <c r="E65" s="62"/>
      <c r="F65" s="62"/>
      <c r="G65" s="62"/>
      <c r="H65" s="62"/>
      <c r="I65" s="63"/>
      <c r="J65" s="62"/>
      <c r="K65" s="66"/>
    </row>
    <row r="66" spans="1:11" ht="16.8" x14ac:dyDescent="0.4">
      <c r="A66" s="62"/>
      <c r="B66" s="62"/>
      <c r="C66" s="62"/>
      <c r="D66" s="62"/>
      <c r="E66" s="62"/>
      <c r="F66" s="62"/>
      <c r="G66" s="62"/>
      <c r="H66" s="62"/>
      <c r="I66" s="63"/>
      <c r="J66" s="62"/>
      <c r="K66" s="66"/>
    </row>
    <row r="67" spans="1:11" ht="16.8" x14ac:dyDescent="0.4">
      <c r="A67" s="62"/>
      <c r="B67" s="62"/>
      <c r="C67" s="62"/>
      <c r="D67" s="62"/>
      <c r="E67" s="62"/>
      <c r="F67" s="62"/>
      <c r="G67" s="62"/>
      <c r="H67" s="62"/>
      <c r="I67" s="63"/>
      <c r="J67" s="62"/>
      <c r="K67" s="66"/>
    </row>
    <row r="68" spans="1:11" ht="16.8" x14ac:dyDescent="0.4">
      <c r="A68" s="62"/>
      <c r="B68" s="62"/>
      <c r="C68" s="62"/>
      <c r="D68" s="62"/>
      <c r="E68" s="62"/>
      <c r="F68" s="62"/>
      <c r="G68" s="62"/>
      <c r="H68" s="62"/>
      <c r="I68" s="63"/>
      <c r="J68" s="62"/>
      <c r="K68" s="66"/>
    </row>
    <row r="69" spans="1:11" ht="16.8" x14ac:dyDescent="0.4">
      <c r="A69" s="62"/>
      <c r="B69" s="62"/>
      <c r="C69" s="62"/>
      <c r="D69" s="62"/>
      <c r="E69" s="62"/>
      <c r="F69" s="62"/>
      <c r="G69" s="62"/>
      <c r="H69" s="62"/>
      <c r="I69" s="63"/>
      <c r="J69" s="62"/>
      <c r="K69" s="66"/>
    </row>
    <row r="70" spans="1:11" ht="16.8" x14ac:dyDescent="0.4">
      <c r="A70" s="62"/>
      <c r="B70" s="62"/>
      <c r="C70" s="62"/>
      <c r="D70" s="62"/>
      <c r="E70" s="62"/>
      <c r="F70" s="62"/>
      <c r="G70" s="62"/>
      <c r="H70" s="62"/>
      <c r="I70" s="63"/>
      <c r="J70" s="62"/>
      <c r="K70" s="66"/>
    </row>
    <row r="71" spans="1:11" ht="16.8" x14ac:dyDescent="0.4">
      <c r="A71" s="62"/>
      <c r="B71" s="62"/>
      <c r="C71" s="62"/>
      <c r="D71" s="62"/>
      <c r="E71" s="62"/>
      <c r="F71" s="62"/>
      <c r="G71" s="62"/>
      <c r="H71" s="62"/>
      <c r="I71" s="63"/>
      <c r="J71" s="62"/>
      <c r="K71" s="66"/>
    </row>
    <row r="72" spans="1:11" ht="16.8" x14ac:dyDescent="0.4">
      <c r="A72" s="62"/>
      <c r="B72" s="62"/>
      <c r="C72" s="62"/>
      <c r="D72" s="62"/>
      <c r="E72" s="62"/>
      <c r="F72" s="62"/>
      <c r="G72" s="62"/>
      <c r="H72" s="62"/>
      <c r="I72" s="63"/>
      <c r="J72" s="62"/>
      <c r="K72" s="66"/>
    </row>
    <row r="73" spans="1:11" ht="16.8" x14ac:dyDescent="0.4">
      <c r="A73" s="62"/>
      <c r="B73" s="62"/>
      <c r="C73" s="62"/>
      <c r="D73" s="62"/>
      <c r="E73" s="62"/>
      <c r="F73" s="62"/>
      <c r="G73" s="62"/>
      <c r="H73" s="62"/>
      <c r="I73" s="63"/>
      <c r="J73" s="62"/>
      <c r="K73" s="66"/>
    </row>
    <row r="74" spans="1:11" ht="16.8" x14ac:dyDescent="0.4">
      <c r="A74" s="62"/>
      <c r="B74" s="62"/>
      <c r="C74" s="62"/>
      <c r="D74" s="62"/>
      <c r="E74" s="62"/>
      <c r="F74" s="62"/>
      <c r="G74" s="62"/>
      <c r="H74" s="62"/>
      <c r="I74" s="63"/>
      <c r="J74" s="62"/>
      <c r="K74" s="66"/>
    </row>
    <row r="75" spans="1:11" ht="16.8" x14ac:dyDescent="0.4">
      <c r="A75" s="62"/>
      <c r="B75" s="62"/>
      <c r="C75" s="62"/>
      <c r="D75" s="62"/>
      <c r="E75" s="62"/>
      <c r="F75" s="62"/>
      <c r="G75" s="62"/>
      <c r="H75" s="62"/>
      <c r="I75" s="63"/>
      <c r="J75" s="62"/>
      <c r="K75" s="66"/>
    </row>
    <row r="76" spans="1:11" ht="16.8" x14ac:dyDescent="0.4">
      <c r="A76" s="62"/>
      <c r="B76" s="62"/>
      <c r="C76" s="62"/>
      <c r="D76" s="62"/>
      <c r="E76" s="62"/>
      <c r="F76" s="62"/>
      <c r="G76" s="62"/>
      <c r="H76" s="62"/>
      <c r="I76" s="63"/>
      <c r="J76" s="62"/>
      <c r="K76" s="66"/>
    </row>
    <row r="77" spans="1:11" ht="16.8" x14ac:dyDescent="0.4">
      <c r="A77" s="62"/>
      <c r="B77" s="62"/>
      <c r="C77" s="62"/>
      <c r="D77" s="62"/>
      <c r="E77" s="62"/>
      <c r="F77" s="62"/>
      <c r="G77" s="62"/>
      <c r="H77" s="62"/>
      <c r="I77" s="63"/>
      <c r="J77" s="62"/>
      <c r="K77" s="66"/>
    </row>
    <row r="78" spans="1:11" ht="16.8" x14ac:dyDescent="0.4">
      <c r="A78" s="62"/>
      <c r="B78" s="62"/>
      <c r="C78" s="62"/>
      <c r="D78" s="62"/>
      <c r="E78" s="62"/>
      <c r="F78" s="62"/>
      <c r="G78" s="62"/>
      <c r="H78" s="62"/>
      <c r="I78" s="63"/>
      <c r="J78" s="62"/>
      <c r="K78" s="66"/>
    </row>
    <row r="79" spans="1:11" ht="16.8" x14ac:dyDescent="0.4">
      <c r="A79" s="62"/>
      <c r="B79" s="62"/>
      <c r="C79" s="62"/>
      <c r="D79" s="62"/>
      <c r="E79" s="62"/>
      <c r="F79" s="62"/>
      <c r="G79" s="62"/>
      <c r="H79" s="62"/>
      <c r="I79" s="63"/>
      <c r="J79" s="62"/>
      <c r="K79" s="66"/>
    </row>
    <row r="80" spans="1:11" ht="16.8" x14ac:dyDescent="0.4">
      <c r="A80" s="62"/>
      <c r="B80" s="62"/>
      <c r="C80" s="62"/>
      <c r="D80" s="62"/>
      <c r="E80" s="62"/>
      <c r="F80" s="62"/>
      <c r="G80" s="62"/>
      <c r="H80" s="62"/>
      <c r="I80" s="63"/>
      <c r="J80" s="62"/>
      <c r="K80" s="66"/>
    </row>
    <row r="81" spans="1:11" ht="16.8" x14ac:dyDescent="0.4">
      <c r="A81" s="62"/>
      <c r="B81" s="62"/>
      <c r="C81" s="62"/>
      <c r="D81" s="62"/>
      <c r="E81" s="62"/>
      <c r="F81" s="62"/>
      <c r="G81" s="62"/>
      <c r="H81" s="62"/>
      <c r="I81" s="63"/>
      <c r="J81" s="62"/>
      <c r="K81" s="67"/>
    </row>
    <row r="82" spans="1:11" ht="16.8" x14ac:dyDescent="0.4">
      <c r="A82" s="62"/>
      <c r="B82" s="62"/>
      <c r="C82" s="62"/>
      <c r="D82" s="62"/>
      <c r="E82" s="62"/>
      <c r="F82" s="62"/>
      <c r="G82" s="62"/>
      <c r="H82" s="62"/>
      <c r="I82" s="63"/>
      <c r="J82" s="62"/>
      <c r="K82" s="66"/>
    </row>
    <row r="83" spans="1:11" ht="16.8" x14ac:dyDescent="0.4">
      <c r="A83" s="62"/>
      <c r="B83" s="62"/>
      <c r="C83" s="62"/>
      <c r="D83" s="62"/>
      <c r="E83" s="62"/>
      <c r="F83" s="62"/>
      <c r="G83" s="62"/>
      <c r="H83" s="62"/>
      <c r="I83" s="63"/>
      <c r="J83" s="62"/>
      <c r="K83" s="66"/>
    </row>
    <row r="84" spans="1:11" ht="16.8" x14ac:dyDescent="0.4">
      <c r="A84" s="62"/>
      <c r="B84" s="62"/>
      <c r="C84" s="62"/>
      <c r="D84" s="62"/>
      <c r="E84" s="62"/>
      <c r="F84" s="62"/>
      <c r="G84" s="62"/>
      <c r="H84" s="62"/>
      <c r="I84" s="63"/>
      <c r="J84" s="62"/>
      <c r="K84" s="66"/>
    </row>
    <row r="85" spans="1:11" ht="16.8" x14ac:dyDescent="0.4">
      <c r="A85" s="62"/>
      <c r="B85" s="62"/>
      <c r="C85" s="62"/>
      <c r="D85" s="62"/>
      <c r="E85" s="62"/>
      <c r="F85" s="62"/>
      <c r="G85" s="62"/>
      <c r="H85" s="62"/>
      <c r="I85" s="63"/>
      <c r="J85" s="62"/>
      <c r="K85" s="66"/>
    </row>
    <row r="86" spans="1:11" ht="16.8" x14ac:dyDescent="0.4">
      <c r="A86" s="62"/>
      <c r="B86" s="62"/>
      <c r="C86" s="62"/>
      <c r="D86" s="62"/>
      <c r="E86" s="62"/>
      <c r="F86" s="62"/>
      <c r="G86" s="62"/>
      <c r="H86" s="62"/>
      <c r="I86" s="63"/>
      <c r="J86" s="62"/>
      <c r="K86" s="64"/>
    </row>
    <row r="87" spans="1:11" ht="16.8" x14ac:dyDescent="0.4">
      <c r="A87" s="62"/>
      <c r="B87" s="62"/>
      <c r="C87" s="62"/>
      <c r="D87" s="62"/>
      <c r="E87" s="62"/>
      <c r="F87" s="62"/>
      <c r="G87" s="62"/>
      <c r="H87" s="62"/>
      <c r="I87" s="63"/>
      <c r="J87" s="62"/>
      <c r="K87" s="64"/>
    </row>
    <row r="88" spans="1:11" ht="16.8" x14ac:dyDescent="0.4">
      <c r="A88" s="62"/>
      <c r="B88" s="62"/>
      <c r="C88" s="62"/>
      <c r="D88" s="62"/>
      <c r="E88" s="62"/>
      <c r="F88" s="62"/>
      <c r="G88" s="62"/>
      <c r="H88" s="62"/>
      <c r="I88" s="63"/>
      <c r="J88" s="62"/>
      <c r="K88" s="64"/>
    </row>
    <row r="89" spans="1:11" ht="16.8" x14ac:dyDescent="0.4">
      <c r="A89" s="62"/>
      <c r="B89" s="62"/>
      <c r="C89" s="62"/>
      <c r="D89" s="62"/>
      <c r="E89" s="62"/>
      <c r="F89" s="62"/>
      <c r="G89" s="62"/>
      <c r="H89" s="62"/>
      <c r="I89" s="63"/>
      <c r="J89" s="62"/>
      <c r="K89" s="64"/>
    </row>
    <row r="90" spans="1:11" ht="16.8" x14ac:dyDescent="0.4">
      <c r="A90" s="62"/>
      <c r="B90" s="62"/>
      <c r="C90" s="62"/>
      <c r="D90" s="62"/>
      <c r="E90" s="62"/>
      <c r="F90" s="62"/>
      <c r="G90" s="62"/>
      <c r="H90" s="62"/>
      <c r="I90" s="63"/>
      <c r="J90" s="62"/>
      <c r="K90" s="64"/>
    </row>
    <row r="91" spans="1:11" ht="16.8" x14ac:dyDescent="0.4">
      <c r="A91" s="62"/>
      <c r="B91" s="62"/>
      <c r="C91" s="62"/>
      <c r="D91" s="62"/>
      <c r="E91" s="62"/>
      <c r="F91" s="62"/>
      <c r="G91" s="62"/>
      <c r="H91" s="62"/>
      <c r="I91" s="63"/>
      <c r="J91" s="62"/>
      <c r="K91" s="64"/>
    </row>
    <row r="92" spans="1:11" ht="16.8" x14ac:dyDescent="0.4">
      <c r="A92" s="62"/>
      <c r="B92" s="62"/>
      <c r="C92" s="62"/>
      <c r="D92" s="62"/>
      <c r="E92" s="62"/>
      <c r="F92" s="62"/>
      <c r="G92" s="62"/>
      <c r="H92" s="62"/>
      <c r="I92" s="63"/>
      <c r="J92" s="62"/>
      <c r="K92" s="64"/>
    </row>
    <row r="93" spans="1:11" ht="16.8" x14ac:dyDescent="0.4">
      <c r="A93" s="62"/>
      <c r="B93" s="62"/>
      <c r="C93" s="62"/>
      <c r="D93" s="62"/>
      <c r="E93" s="62"/>
      <c r="F93" s="62"/>
      <c r="G93" s="62"/>
      <c r="H93" s="62"/>
      <c r="I93" s="63"/>
      <c r="J93" s="62"/>
      <c r="K93" s="64"/>
    </row>
    <row r="94" spans="1:11" ht="16.8" x14ac:dyDescent="0.4">
      <c r="A94" s="62"/>
      <c r="B94" s="62"/>
      <c r="C94" s="62"/>
      <c r="D94" s="62"/>
      <c r="E94" s="62"/>
      <c r="F94" s="62"/>
      <c r="G94" s="62"/>
      <c r="H94" s="62"/>
      <c r="I94" s="63"/>
      <c r="J94" s="62"/>
      <c r="K94" s="64"/>
    </row>
    <row r="95" spans="1:11" ht="16.8" x14ac:dyDescent="0.4">
      <c r="A95" s="62"/>
      <c r="B95" s="62"/>
      <c r="C95" s="62"/>
      <c r="D95" s="62"/>
      <c r="E95" s="62"/>
      <c r="F95" s="62"/>
      <c r="G95" s="62"/>
      <c r="H95" s="62"/>
      <c r="I95" s="63"/>
      <c r="J95" s="62"/>
      <c r="K95" s="64"/>
    </row>
    <row r="96" spans="1:11" ht="16.8" x14ac:dyDescent="0.4">
      <c r="A96" s="62"/>
      <c r="B96" s="62"/>
      <c r="C96" s="62"/>
      <c r="D96" s="62"/>
      <c r="E96" s="62"/>
      <c r="F96" s="62"/>
      <c r="G96" s="62"/>
      <c r="H96" s="62"/>
      <c r="I96" s="63"/>
      <c r="J96" s="62"/>
      <c r="K96" s="64"/>
    </row>
    <row r="97" spans="1:11" ht="16.8" x14ac:dyDescent="0.4">
      <c r="A97" s="62"/>
      <c r="B97" s="62"/>
      <c r="C97" s="62"/>
      <c r="D97" s="62"/>
      <c r="E97" s="62"/>
      <c r="F97" s="62"/>
      <c r="G97" s="62"/>
      <c r="H97" s="62"/>
      <c r="I97" s="63"/>
      <c r="J97" s="62"/>
      <c r="K97" s="64"/>
    </row>
    <row r="98" spans="1:11" ht="16.8" x14ac:dyDescent="0.4">
      <c r="A98" s="62"/>
      <c r="B98" s="62"/>
      <c r="C98" s="62"/>
      <c r="D98" s="62"/>
      <c r="E98" s="62"/>
      <c r="F98" s="62"/>
      <c r="G98" s="62"/>
      <c r="H98" s="62"/>
      <c r="I98" s="63"/>
      <c r="J98" s="62"/>
      <c r="K98" s="64"/>
    </row>
    <row r="99" spans="1:11" ht="16.8" x14ac:dyDescent="0.4">
      <c r="A99" s="62"/>
      <c r="B99" s="62"/>
      <c r="C99" s="62"/>
      <c r="D99" s="62"/>
      <c r="E99" s="62"/>
      <c r="F99" s="62"/>
      <c r="G99" s="62"/>
      <c r="H99" s="62"/>
      <c r="I99" s="63"/>
      <c r="J99" s="62"/>
      <c r="K99" s="64"/>
    </row>
    <row r="100" spans="1:11" ht="16.8" x14ac:dyDescent="0.4">
      <c r="A100" s="62"/>
      <c r="B100" s="62"/>
      <c r="C100" s="62"/>
      <c r="D100" s="62"/>
      <c r="E100" s="62"/>
      <c r="F100" s="62"/>
      <c r="G100" s="62"/>
      <c r="H100" s="62"/>
      <c r="I100" s="63"/>
      <c r="J100" s="62"/>
      <c r="K100" s="64"/>
    </row>
    <row r="101" spans="1:11" ht="16.8" x14ac:dyDescent="0.4">
      <c r="A101" s="62"/>
      <c r="B101" s="62"/>
      <c r="C101" s="62"/>
      <c r="D101" s="62"/>
      <c r="E101" s="62"/>
      <c r="F101" s="62"/>
      <c r="G101" s="62"/>
      <c r="H101" s="62"/>
      <c r="I101" s="63"/>
      <c r="J101" s="62"/>
      <c r="K101" s="64"/>
    </row>
    <row r="102" spans="1:11" ht="16.8" x14ac:dyDescent="0.4">
      <c r="A102" s="62"/>
      <c r="B102" s="62"/>
      <c r="C102" s="62"/>
      <c r="D102" s="62"/>
      <c r="E102" s="62"/>
      <c r="F102" s="62"/>
      <c r="G102" s="62"/>
      <c r="H102" s="62"/>
      <c r="I102" s="63"/>
      <c r="J102" s="62"/>
      <c r="K102" s="64"/>
    </row>
    <row r="103" spans="1:11" ht="16.8" x14ac:dyDescent="0.4">
      <c r="A103" s="62"/>
      <c r="B103" s="62"/>
      <c r="C103" s="62"/>
      <c r="D103" s="62"/>
      <c r="E103" s="62"/>
      <c r="F103" s="62"/>
      <c r="G103" s="62"/>
      <c r="H103" s="62"/>
      <c r="I103" s="63"/>
      <c r="J103" s="62"/>
      <c r="K103" s="64"/>
    </row>
    <row r="104" spans="1:11" ht="16.8" x14ac:dyDescent="0.4">
      <c r="A104" s="62"/>
      <c r="B104" s="62"/>
      <c r="C104" s="62"/>
      <c r="D104" s="62"/>
      <c r="E104" s="62"/>
      <c r="F104" s="62"/>
      <c r="G104" s="62"/>
      <c r="H104" s="62"/>
      <c r="I104" s="63"/>
      <c r="J104" s="62"/>
      <c r="K104" s="64"/>
    </row>
    <row r="105" spans="1:11" ht="16.8" x14ac:dyDescent="0.4">
      <c r="A105" s="62"/>
      <c r="B105" s="62"/>
      <c r="C105" s="62"/>
      <c r="D105" s="62"/>
      <c r="E105" s="62"/>
      <c r="F105" s="62"/>
      <c r="G105" s="62"/>
      <c r="H105" s="62"/>
      <c r="I105" s="63"/>
      <c r="J105" s="62"/>
      <c r="K105" s="64"/>
    </row>
    <row r="106" spans="1:11" ht="16.8" x14ac:dyDescent="0.4">
      <c r="A106" s="62"/>
      <c r="B106" s="62"/>
      <c r="C106" s="62"/>
      <c r="D106" s="62"/>
      <c r="E106" s="62"/>
      <c r="F106" s="62"/>
      <c r="G106" s="62"/>
      <c r="H106" s="62"/>
      <c r="I106" s="63"/>
      <c r="J106" s="62"/>
      <c r="K106" s="64"/>
    </row>
    <row r="107" spans="1:11" ht="16.8" x14ac:dyDescent="0.4">
      <c r="A107" s="62"/>
      <c r="B107" s="62"/>
      <c r="C107" s="62"/>
      <c r="D107" s="62"/>
      <c r="E107" s="62"/>
      <c r="F107" s="62"/>
      <c r="G107" s="62"/>
      <c r="H107" s="62"/>
      <c r="I107" s="63"/>
      <c r="J107" s="62"/>
      <c r="K107" s="64"/>
    </row>
    <row r="108" spans="1:11" ht="16.8" x14ac:dyDescent="0.4">
      <c r="A108" s="62"/>
      <c r="B108" s="62"/>
      <c r="C108" s="62"/>
      <c r="D108" s="62"/>
      <c r="E108" s="62"/>
      <c r="F108" s="62"/>
      <c r="G108" s="62"/>
      <c r="H108" s="62"/>
      <c r="I108" s="63"/>
      <c r="J108" s="62"/>
      <c r="K108" s="64"/>
    </row>
    <row r="109" spans="1:11" ht="16.8" x14ac:dyDescent="0.4">
      <c r="A109" s="62"/>
      <c r="B109" s="62"/>
      <c r="C109" s="62"/>
      <c r="D109" s="62"/>
      <c r="E109" s="62"/>
      <c r="F109" s="62"/>
      <c r="G109" s="62"/>
      <c r="H109" s="62"/>
      <c r="I109" s="63"/>
      <c r="J109" s="62"/>
      <c r="K109" s="64"/>
    </row>
    <row r="110" spans="1:11" ht="16.8" x14ac:dyDescent="0.4">
      <c r="A110" s="62"/>
      <c r="B110" s="62"/>
      <c r="C110" s="62"/>
      <c r="D110" s="62"/>
      <c r="E110" s="62"/>
      <c r="F110" s="62"/>
      <c r="G110" s="62"/>
      <c r="H110" s="62"/>
      <c r="I110" s="63"/>
      <c r="J110" s="62"/>
      <c r="K110" s="64"/>
    </row>
    <row r="111" spans="1:11" ht="16.8" x14ac:dyDescent="0.4">
      <c r="A111" s="62"/>
      <c r="B111" s="62"/>
      <c r="C111" s="62"/>
      <c r="D111" s="62"/>
      <c r="E111" s="62"/>
      <c r="F111" s="62"/>
      <c r="G111" s="62"/>
      <c r="H111" s="62"/>
      <c r="I111" s="63"/>
      <c r="J111" s="62"/>
      <c r="K111" s="64"/>
    </row>
    <row r="112" spans="1:11" ht="16.8" x14ac:dyDescent="0.4">
      <c r="A112" s="62"/>
      <c r="B112" s="62"/>
      <c r="C112" s="62"/>
      <c r="D112" s="62"/>
      <c r="E112" s="62"/>
      <c r="F112" s="62"/>
      <c r="G112" s="62"/>
      <c r="H112" s="62"/>
      <c r="I112" s="63"/>
      <c r="J112" s="62"/>
      <c r="K112" s="64"/>
    </row>
    <row r="113" spans="1:11" ht="16.8" x14ac:dyDescent="0.4">
      <c r="A113" s="62"/>
      <c r="B113" s="62"/>
      <c r="C113" s="62"/>
      <c r="D113" s="62"/>
      <c r="E113" s="62"/>
      <c r="F113" s="62"/>
      <c r="G113" s="62"/>
      <c r="H113" s="62"/>
      <c r="I113" s="63"/>
      <c r="J113" s="62"/>
      <c r="K113" s="64"/>
    </row>
    <row r="114" spans="1:11" ht="16.8" x14ac:dyDescent="0.4">
      <c r="A114" s="62"/>
      <c r="B114" s="62"/>
      <c r="C114" s="62"/>
      <c r="D114" s="62"/>
      <c r="E114" s="62"/>
      <c r="F114" s="62"/>
      <c r="G114" s="62"/>
      <c r="H114" s="62"/>
      <c r="I114" s="63"/>
      <c r="J114" s="62"/>
      <c r="K114" s="64"/>
    </row>
    <row r="115" spans="1:11" ht="16.8" x14ac:dyDescent="0.4">
      <c r="A115" s="62"/>
      <c r="B115" s="62"/>
      <c r="C115" s="62"/>
      <c r="D115" s="62"/>
      <c r="E115" s="62"/>
      <c r="F115" s="62"/>
      <c r="G115" s="62"/>
      <c r="H115" s="62"/>
      <c r="I115" s="63"/>
      <c r="J115" s="62"/>
      <c r="K115" s="64"/>
    </row>
    <row r="116" spans="1:11" ht="16.8" x14ac:dyDescent="0.4">
      <c r="A116" s="62"/>
      <c r="B116" s="62"/>
      <c r="C116" s="62"/>
      <c r="D116" s="62"/>
      <c r="E116" s="62"/>
      <c r="F116" s="62"/>
      <c r="G116" s="62"/>
      <c r="H116" s="62"/>
      <c r="I116" s="63"/>
      <c r="J116" s="62"/>
      <c r="K116" s="64"/>
    </row>
    <row r="117" spans="1:11" ht="16.8" x14ac:dyDescent="0.4">
      <c r="A117" s="62"/>
      <c r="B117" s="62"/>
      <c r="C117" s="62"/>
      <c r="D117" s="62"/>
      <c r="E117" s="62"/>
      <c r="F117" s="62"/>
      <c r="G117" s="62"/>
      <c r="H117" s="62"/>
      <c r="I117" s="63"/>
      <c r="J117" s="62"/>
      <c r="K117" s="64"/>
    </row>
    <row r="118" spans="1:11" ht="16.8" x14ac:dyDescent="0.4">
      <c r="A118" s="62"/>
      <c r="B118" s="62"/>
      <c r="C118" s="62"/>
      <c r="D118" s="62"/>
      <c r="E118" s="62"/>
      <c r="F118" s="62"/>
      <c r="G118" s="62"/>
      <c r="H118" s="62"/>
      <c r="I118" s="63"/>
      <c r="J118" s="62"/>
      <c r="K118" s="64"/>
    </row>
    <row r="119" spans="1:11" ht="16.8" x14ac:dyDescent="0.4">
      <c r="A119" s="62"/>
      <c r="B119" s="62"/>
      <c r="C119" s="62"/>
      <c r="D119" s="62"/>
      <c r="E119" s="62"/>
      <c r="F119" s="62"/>
      <c r="G119" s="62"/>
      <c r="H119" s="62"/>
      <c r="I119" s="63"/>
      <c r="J119" s="62"/>
      <c r="K119" s="64"/>
    </row>
    <row r="120" spans="1:11" ht="16.8" x14ac:dyDescent="0.4">
      <c r="A120" s="62"/>
      <c r="B120" s="62"/>
      <c r="C120" s="62"/>
      <c r="D120" s="62"/>
      <c r="E120" s="62"/>
      <c r="F120" s="62"/>
      <c r="G120" s="62"/>
      <c r="H120" s="62"/>
      <c r="I120" s="63"/>
      <c r="J120" s="62"/>
      <c r="K120" s="64"/>
    </row>
    <row r="121" spans="1:11" ht="16.8" x14ac:dyDescent="0.4">
      <c r="A121" s="62"/>
      <c r="B121" s="62"/>
      <c r="C121" s="62"/>
      <c r="D121" s="62"/>
      <c r="E121" s="62"/>
      <c r="F121" s="62"/>
      <c r="G121" s="62"/>
      <c r="H121" s="62"/>
      <c r="I121" s="63"/>
      <c r="J121" s="62"/>
      <c r="K121" s="64"/>
    </row>
    <row r="122" spans="1:11" ht="16.8" x14ac:dyDescent="0.4">
      <c r="A122" s="62"/>
      <c r="B122" s="62"/>
      <c r="C122" s="62"/>
      <c r="D122" s="62"/>
      <c r="E122" s="62"/>
      <c r="F122" s="62"/>
      <c r="G122" s="62"/>
      <c r="H122" s="62"/>
      <c r="I122" s="63"/>
      <c r="J122" s="62"/>
      <c r="K122" s="64"/>
    </row>
    <row r="123" spans="1:11" ht="16.8" x14ac:dyDescent="0.4">
      <c r="A123" s="62"/>
      <c r="B123" s="62"/>
      <c r="C123" s="62"/>
      <c r="D123" s="62"/>
      <c r="E123" s="62"/>
      <c r="F123" s="62"/>
      <c r="G123" s="62"/>
      <c r="H123" s="62"/>
      <c r="I123" s="63"/>
      <c r="J123" s="62"/>
      <c r="K123" s="64"/>
    </row>
    <row r="124" spans="1:11" ht="16.8" x14ac:dyDescent="0.4">
      <c r="A124" s="62"/>
      <c r="B124" s="62"/>
      <c r="C124" s="62"/>
      <c r="D124" s="62"/>
      <c r="E124" s="62"/>
      <c r="F124" s="62"/>
      <c r="G124" s="62"/>
      <c r="H124" s="62"/>
      <c r="I124" s="63"/>
      <c r="J124" s="62"/>
      <c r="K124" s="64"/>
    </row>
    <row r="125" spans="1:11" ht="16.8" x14ac:dyDescent="0.4">
      <c r="A125" s="62"/>
      <c r="B125" s="62"/>
      <c r="C125" s="62"/>
      <c r="D125" s="62"/>
      <c r="E125" s="62"/>
      <c r="F125" s="62"/>
      <c r="G125" s="62"/>
      <c r="H125" s="62"/>
      <c r="I125" s="63"/>
      <c r="J125" s="62"/>
      <c r="K125" s="65"/>
    </row>
    <row r="126" spans="1:11" ht="16.8" x14ac:dyDescent="0.4">
      <c r="A126" s="62"/>
      <c r="B126" s="62"/>
      <c r="C126" s="62"/>
      <c r="D126" s="62"/>
      <c r="E126" s="62"/>
      <c r="F126" s="62"/>
      <c r="G126" s="62"/>
      <c r="H126" s="62"/>
      <c r="I126" s="63"/>
      <c r="J126" s="62"/>
      <c r="K126" s="64"/>
    </row>
    <row r="127" spans="1:11" ht="16.8" x14ac:dyDescent="0.4">
      <c r="A127" s="62"/>
      <c r="B127" s="62"/>
      <c r="C127" s="62"/>
      <c r="D127" s="62"/>
      <c r="E127" s="62"/>
      <c r="F127" s="62"/>
      <c r="G127" s="62"/>
      <c r="H127" s="62"/>
      <c r="I127" s="63"/>
      <c r="J127" s="62"/>
      <c r="K127" s="64"/>
    </row>
    <row r="128" spans="1:11" ht="16.8" x14ac:dyDescent="0.4">
      <c r="A128" s="62"/>
      <c r="B128" s="62"/>
      <c r="C128" s="62"/>
      <c r="D128" s="62"/>
      <c r="E128" s="62"/>
      <c r="F128" s="62"/>
      <c r="G128" s="62"/>
      <c r="H128" s="62"/>
      <c r="I128" s="63"/>
      <c r="J128" s="62"/>
      <c r="K128" s="64"/>
    </row>
    <row r="129" spans="1:11" ht="16.8" x14ac:dyDescent="0.4">
      <c r="A129" s="62"/>
      <c r="B129" s="62"/>
      <c r="C129" s="62"/>
      <c r="D129" s="62"/>
      <c r="E129" s="62"/>
      <c r="F129" s="62"/>
      <c r="G129" s="62"/>
      <c r="H129" s="62"/>
      <c r="I129" s="63"/>
      <c r="J129" s="62"/>
      <c r="K129" s="64"/>
    </row>
    <row r="130" spans="1:11" ht="16.8" x14ac:dyDescent="0.4">
      <c r="A130" s="62"/>
      <c r="B130" s="62"/>
      <c r="C130" s="62"/>
      <c r="D130" s="62"/>
      <c r="E130" s="62"/>
      <c r="F130" s="62"/>
      <c r="G130" s="62"/>
      <c r="H130" s="62"/>
      <c r="I130" s="63"/>
      <c r="J130" s="62"/>
      <c r="K130" s="64"/>
    </row>
    <row r="131" spans="1:11" ht="16.8" x14ac:dyDescent="0.4">
      <c r="A131" s="62"/>
      <c r="B131" s="62"/>
      <c r="C131" s="62"/>
      <c r="D131" s="62"/>
      <c r="E131" s="62"/>
      <c r="F131" s="62"/>
      <c r="G131" s="62"/>
      <c r="H131" s="62"/>
      <c r="I131" s="63"/>
      <c r="J131" s="62"/>
      <c r="K131" s="64"/>
    </row>
    <row r="132" spans="1:11" ht="16.8" x14ac:dyDescent="0.4">
      <c r="A132" s="62"/>
      <c r="B132" s="62"/>
      <c r="C132" s="62"/>
      <c r="D132" s="62"/>
      <c r="E132" s="62"/>
      <c r="F132" s="62"/>
      <c r="G132" s="62"/>
      <c r="H132" s="62"/>
      <c r="I132" s="63"/>
      <c r="J132" s="62"/>
      <c r="K132" s="64"/>
    </row>
    <row r="133" spans="1:11" ht="16.8" x14ac:dyDescent="0.4">
      <c r="A133" s="62"/>
      <c r="B133" s="62"/>
      <c r="C133" s="62"/>
      <c r="D133" s="62"/>
      <c r="E133" s="62"/>
      <c r="F133" s="62"/>
      <c r="G133" s="62"/>
      <c r="H133" s="62"/>
      <c r="I133" s="63"/>
      <c r="J133" s="62"/>
      <c r="K133" s="64"/>
    </row>
    <row r="134" spans="1:11" ht="16.8" x14ac:dyDescent="0.4">
      <c r="A134" s="62"/>
      <c r="B134" s="62"/>
      <c r="C134" s="62"/>
      <c r="D134" s="62"/>
      <c r="E134" s="62"/>
      <c r="F134" s="62"/>
      <c r="G134" s="62"/>
      <c r="H134" s="62"/>
      <c r="I134" s="63"/>
      <c r="J134" s="62"/>
      <c r="K134" s="61"/>
    </row>
    <row r="135" spans="1:11" ht="16.8" x14ac:dyDescent="0.4">
      <c r="A135" s="62"/>
      <c r="B135" s="62"/>
      <c r="C135" s="62"/>
      <c r="D135" s="62"/>
      <c r="E135" s="62"/>
      <c r="F135" s="62"/>
      <c r="G135" s="62"/>
      <c r="H135" s="62"/>
      <c r="I135" s="63"/>
      <c r="J135" s="62"/>
      <c r="K135" s="61"/>
    </row>
    <row r="136" spans="1:11" ht="16.8" x14ac:dyDescent="0.4">
      <c r="A136" s="62"/>
      <c r="B136" s="62"/>
      <c r="C136" s="62"/>
      <c r="D136" s="62"/>
      <c r="E136" s="62"/>
      <c r="F136" s="62"/>
      <c r="G136" s="62"/>
      <c r="H136" s="62"/>
      <c r="I136" s="63"/>
      <c r="J136" s="62"/>
      <c r="K136" s="61"/>
    </row>
    <row r="137" spans="1:11" ht="16.8" x14ac:dyDescent="0.4">
      <c r="A137" s="62"/>
      <c r="B137" s="62"/>
      <c r="C137" s="62"/>
      <c r="D137" s="62"/>
      <c r="E137" s="62"/>
      <c r="F137" s="62"/>
      <c r="G137" s="62"/>
      <c r="H137" s="62"/>
      <c r="I137" s="63"/>
      <c r="J137" s="62"/>
      <c r="K137" s="61"/>
    </row>
    <row r="138" spans="1:11" ht="16.8" x14ac:dyDescent="0.4">
      <c r="A138" s="62"/>
      <c r="B138" s="62"/>
      <c r="C138" s="62"/>
      <c r="D138" s="62"/>
      <c r="E138" s="62"/>
      <c r="F138" s="62"/>
      <c r="G138" s="62"/>
      <c r="H138" s="62"/>
      <c r="I138" s="63"/>
      <c r="J138" s="62"/>
      <c r="K138" s="61"/>
    </row>
    <row r="139" spans="1:11" ht="16.8" x14ac:dyDescent="0.4">
      <c r="A139" s="62"/>
      <c r="B139" s="62"/>
      <c r="C139" s="62"/>
      <c r="D139" s="62"/>
      <c r="E139" s="62"/>
      <c r="F139" s="62"/>
      <c r="G139" s="62"/>
      <c r="H139" s="62"/>
      <c r="I139" s="63"/>
      <c r="J139" s="62"/>
      <c r="K139" s="61"/>
    </row>
    <row r="140" spans="1:11" ht="16.8" x14ac:dyDescent="0.4">
      <c r="A140" s="62"/>
      <c r="B140" s="62"/>
      <c r="C140" s="62"/>
      <c r="D140" s="62"/>
      <c r="E140" s="62"/>
      <c r="F140" s="62"/>
      <c r="G140" s="62"/>
      <c r="H140" s="62"/>
      <c r="I140" s="63"/>
      <c r="J140" s="62"/>
      <c r="K140" s="61"/>
    </row>
    <row r="141" spans="1:11" ht="16.8" x14ac:dyDescent="0.4">
      <c r="A141" s="62"/>
      <c r="B141" s="62"/>
      <c r="C141" s="62"/>
      <c r="D141" s="62"/>
      <c r="E141" s="62"/>
      <c r="F141" s="62"/>
      <c r="G141" s="62"/>
      <c r="H141" s="62"/>
      <c r="I141" s="63"/>
      <c r="J141" s="62"/>
      <c r="K141" s="61"/>
    </row>
    <row r="142" spans="1:11" ht="16.8" x14ac:dyDescent="0.4">
      <c r="A142" s="62"/>
      <c r="B142" s="62"/>
      <c r="C142" s="62"/>
      <c r="D142" s="62"/>
      <c r="E142" s="62"/>
      <c r="F142" s="62"/>
      <c r="G142" s="62"/>
      <c r="H142" s="62"/>
      <c r="I142" s="63"/>
      <c r="J142" s="62"/>
      <c r="K142" s="61"/>
    </row>
    <row r="143" spans="1:11" ht="16.8" x14ac:dyDescent="0.4">
      <c r="A143" s="62"/>
      <c r="B143" s="62"/>
      <c r="C143" s="62"/>
      <c r="D143" s="62"/>
      <c r="E143" s="62"/>
      <c r="F143" s="62"/>
      <c r="G143" s="62"/>
      <c r="H143" s="62"/>
      <c r="I143" s="63"/>
      <c r="J143" s="62"/>
      <c r="K143" s="61"/>
    </row>
    <row r="144" spans="1:11" ht="16.8" x14ac:dyDescent="0.4">
      <c r="A144" s="62"/>
      <c r="B144" s="62"/>
      <c r="C144" s="62"/>
      <c r="D144" s="62"/>
      <c r="E144" s="62"/>
      <c r="F144" s="62"/>
      <c r="G144" s="62"/>
      <c r="H144" s="62"/>
      <c r="I144" s="63"/>
      <c r="J144" s="62"/>
      <c r="K144" s="61"/>
    </row>
    <row r="145" spans="1:11" ht="16.8" x14ac:dyDescent="0.4">
      <c r="A145" s="62"/>
      <c r="B145" s="62"/>
      <c r="C145" s="62"/>
      <c r="D145" s="62"/>
      <c r="E145" s="62"/>
      <c r="F145" s="62"/>
      <c r="G145" s="62"/>
      <c r="H145" s="62"/>
      <c r="I145" s="63"/>
      <c r="J145" s="62"/>
      <c r="K145" s="61"/>
    </row>
    <row r="146" spans="1:11" ht="16.8" x14ac:dyDescent="0.4">
      <c r="A146" s="62"/>
      <c r="B146" s="62"/>
      <c r="C146" s="62"/>
      <c r="D146" s="62"/>
      <c r="E146" s="62"/>
      <c r="F146" s="62"/>
      <c r="G146" s="62"/>
      <c r="H146" s="62"/>
      <c r="I146" s="63"/>
      <c r="J146" s="62"/>
      <c r="K146" s="61"/>
    </row>
    <row r="147" spans="1:11" ht="16.8" x14ac:dyDescent="0.4">
      <c r="A147" s="62"/>
      <c r="B147" s="62"/>
      <c r="C147" s="62"/>
      <c r="D147" s="62"/>
      <c r="E147" s="62"/>
      <c r="F147" s="62"/>
      <c r="G147" s="62"/>
      <c r="H147" s="62"/>
      <c r="I147" s="63"/>
      <c r="J147" s="62"/>
      <c r="K147" s="61"/>
    </row>
    <row r="148" spans="1:11" ht="16.8" x14ac:dyDescent="0.4">
      <c r="A148" s="62"/>
      <c r="B148" s="62"/>
      <c r="C148" s="62"/>
      <c r="D148" s="62"/>
      <c r="E148" s="62"/>
      <c r="F148" s="62"/>
      <c r="G148" s="62"/>
      <c r="H148" s="62"/>
      <c r="I148" s="63"/>
      <c r="J148" s="62"/>
      <c r="K148" s="61"/>
    </row>
    <row r="149" spans="1:11" ht="16.8" x14ac:dyDescent="0.4">
      <c r="A149" s="62"/>
      <c r="B149" s="62"/>
      <c r="C149" s="62"/>
      <c r="D149" s="62"/>
      <c r="E149" s="62"/>
      <c r="F149" s="62"/>
      <c r="G149" s="62"/>
      <c r="H149" s="62"/>
      <c r="I149" s="63"/>
      <c r="J149" s="62"/>
      <c r="K149" s="61"/>
    </row>
    <row r="150" spans="1:11" ht="16.8" x14ac:dyDescent="0.4">
      <c r="A150" s="62"/>
      <c r="B150" s="62"/>
      <c r="C150" s="62"/>
      <c r="D150" s="62"/>
      <c r="E150" s="62"/>
      <c r="F150" s="62"/>
      <c r="G150" s="62"/>
      <c r="H150" s="62"/>
      <c r="I150" s="63"/>
      <c r="J150" s="62"/>
      <c r="K150" s="61"/>
    </row>
    <row r="151" spans="1:11" ht="16.8" x14ac:dyDescent="0.4">
      <c r="A151" s="62"/>
      <c r="B151" s="62"/>
      <c r="C151" s="62"/>
      <c r="D151" s="62"/>
      <c r="E151" s="62"/>
      <c r="F151" s="62"/>
      <c r="G151" s="62"/>
      <c r="H151" s="62"/>
      <c r="I151" s="63"/>
      <c r="J151" s="62"/>
      <c r="K151" s="61"/>
    </row>
    <row r="152" spans="1:11" ht="16.8" x14ac:dyDescent="0.4">
      <c r="A152" s="62"/>
      <c r="B152" s="62"/>
      <c r="C152" s="62"/>
      <c r="D152" s="62"/>
      <c r="E152" s="62"/>
      <c r="F152" s="62"/>
      <c r="G152" s="62"/>
      <c r="H152" s="62"/>
      <c r="I152" s="63"/>
      <c r="J152" s="62"/>
      <c r="K152" s="61"/>
    </row>
    <row r="153" spans="1:11" ht="16.8" x14ac:dyDescent="0.4">
      <c r="A153" s="62"/>
      <c r="B153" s="62"/>
      <c r="C153" s="62"/>
      <c r="D153" s="62"/>
      <c r="E153" s="62"/>
      <c r="F153" s="62"/>
      <c r="G153" s="62"/>
      <c r="H153" s="62"/>
      <c r="I153" s="63"/>
      <c r="J153" s="62"/>
      <c r="K153" s="61"/>
    </row>
    <row r="154" spans="1:11" ht="16.8" x14ac:dyDescent="0.4">
      <c r="A154" s="62"/>
      <c r="B154" s="62"/>
      <c r="C154" s="62"/>
      <c r="D154" s="62"/>
      <c r="E154" s="62"/>
      <c r="F154" s="62"/>
      <c r="G154" s="62"/>
      <c r="H154" s="62"/>
      <c r="I154" s="63"/>
      <c r="J154" s="62"/>
      <c r="K154" s="61"/>
    </row>
    <row r="155" spans="1:11" ht="16.8" x14ac:dyDescent="0.4">
      <c r="A155" s="62"/>
      <c r="B155" s="62"/>
      <c r="C155" s="62"/>
      <c r="D155" s="62"/>
      <c r="E155" s="62"/>
      <c r="F155" s="62"/>
      <c r="G155" s="62"/>
      <c r="H155" s="62"/>
      <c r="I155" s="63"/>
      <c r="J155" s="62"/>
      <c r="K155" s="61"/>
    </row>
    <row r="156" spans="1:11" ht="16.8" x14ac:dyDescent="0.4">
      <c r="A156" s="62"/>
      <c r="B156" s="62"/>
      <c r="C156" s="62"/>
      <c r="D156" s="62"/>
      <c r="E156" s="62"/>
      <c r="F156" s="62"/>
      <c r="G156" s="62"/>
      <c r="H156" s="62"/>
      <c r="I156" s="63"/>
      <c r="J156" s="62"/>
      <c r="K156" s="61"/>
    </row>
    <row r="157" spans="1:11" ht="16.8" x14ac:dyDescent="0.4">
      <c r="A157" s="62"/>
      <c r="B157" s="62"/>
      <c r="C157" s="62"/>
      <c r="D157" s="62"/>
      <c r="E157" s="62"/>
      <c r="F157" s="62"/>
      <c r="G157" s="62"/>
      <c r="H157" s="62"/>
      <c r="I157" s="63"/>
      <c r="J157" s="62"/>
      <c r="K157" s="61"/>
    </row>
    <row r="158" spans="1:11" ht="16.8" x14ac:dyDescent="0.4">
      <c r="A158" s="62"/>
      <c r="B158" s="62"/>
      <c r="C158" s="62"/>
      <c r="D158" s="62"/>
      <c r="E158" s="62"/>
      <c r="F158" s="62"/>
      <c r="G158" s="62"/>
      <c r="H158" s="62"/>
      <c r="I158" s="63"/>
      <c r="J158" s="62"/>
      <c r="K158" s="61"/>
    </row>
    <row r="159" spans="1:11" ht="16.8" x14ac:dyDescent="0.4">
      <c r="A159" s="62"/>
      <c r="B159" s="62"/>
      <c r="C159" s="62"/>
      <c r="D159" s="62"/>
      <c r="E159" s="62"/>
      <c r="F159" s="62"/>
      <c r="G159" s="62"/>
      <c r="H159" s="62"/>
      <c r="I159" s="63"/>
      <c r="J159" s="62"/>
      <c r="K159" s="61"/>
    </row>
    <row r="160" spans="1:11" ht="16.8" x14ac:dyDescent="0.4">
      <c r="A160" s="62"/>
      <c r="B160" s="62"/>
      <c r="C160" s="62"/>
      <c r="D160" s="62"/>
      <c r="E160" s="62"/>
      <c r="F160" s="62"/>
      <c r="G160" s="62"/>
      <c r="H160" s="62"/>
      <c r="I160" s="63"/>
      <c r="J160" s="62"/>
      <c r="K160" s="61"/>
    </row>
    <row r="161" spans="1:11" ht="16.8" x14ac:dyDescent="0.4">
      <c r="A161" s="62"/>
      <c r="B161" s="62"/>
      <c r="C161" s="62"/>
      <c r="D161" s="62"/>
      <c r="E161" s="62"/>
      <c r="F161" s="62"/>
      <c r="G161" s="62"/>
      <c r="H161" s="62"/>
      <c r="I161" s="63"/>
      <c r="J161" s="62"/>
      <c r="K161" s="61"/>
    </row>
    <row r="162" spans="1:11" ht="16.8" x14ac:dyDescent="0.4">
      <c r="A162" s="62"/>
      <c r="B162" s="62"/>
      <c r="C162" s="62"/>
      <c r="D162" s="62"/>
      <c r="E162" s="62"/>
      <c r="F162" s="62"/>
      <c r="G162" s="62"/>
      <c r="H162" s="62"/>
      <c r="I162" s="63"/>
      <c r="J162" s="62"/>
      <c r="K162" s="61"/>
    </row>
    <row r="163" spans="1:11" ht="16.8" x14ac:dyDescent="0.4">
      <c r="A163" s="62"/>
      <c r="B163" s="62"/>
      <c r="C163" s="62"/>
      <c r="D163" s="62"/>
      <c r="E163" s="62"/>
      <c r="F163" s="62"/>
      <c r="G163" s="62"/>
      <c r="H163" s="62"/>
      <c r="I163" s="63"/>
      <c r="J163" s="62"/>
      <c r="K163" s="61"/>
    </row>
    <row r="164" spans="1:11" ht="16.8" x14ac:dyDescent="0.4">
      <c r="A164" s="62"/>
      <c r="B164" s="62"/>
      <c r="C164" s="62"/>
      <c r="D164" s="62"/>
      <c r="E164" s="62"/>
      <c r="F164" s="62"/>
      <c r="G164" s="62"/>
      <c r="H164" s="62"/>
      <c r="I164" s="63"/>
      <c r="J164" s="62"/>
      <c r="K164" s="61"/>
    </row>
    <row r="165" spans="1:11" ht="16.8" x14ac:dyDescent="0.4">
      <c r="A165" s="62"/>
      <c r="B165" s="62"/>
      <c r="C165" s="62"/>
      <c r="D165" s="62"/>
      <c r="E165" s="62"/>
      <c r="F165" s="62"/>
      <c r="G165" s="62"/>
      <c r="H165" s="62"/>
      <c r="I165" s="63"/>
      <c r="J165" s="62"/>
      <c r="K165" s="61"/>
    </row>
    <row r="166" spans="1:11" ht="16.8" x14ac:dyDescent="0.4">
      <c r="A166" s="62"/>
      <c r="B166" s="62"/>
      <c r="C166" s="62"/>
      <c r="D166" s="62"/>
      <c r="E166" s="62"/>
      <c r="F166" s="62"/>
      <c r="G166" s="62"/>
      <c r="H166" s="62"/>
      <c r="I166" s="63"/>
      <c r="J166" s="62"/>
      <c r="K166" s="61"/>
    </row>
    <row r="167" spans="1:11" ht="16.8" x14ac:dyDescent="0.4">
      <c r="A167" s="62"/>
      <c r="B167" s="62"/>
      <c r="C167" s="62"/>
      <c r="D167" s="62"/>
      <c r="E167" s="62"/>
      <c r="F167" s="62"/>
      <c r="G167" s="62"/>
      <c r="H167" s="62"/>
      <c r="I167" s="63"/>
      <c r="J167" s="62"/>
      <c r="K167" s="61"/>
    </row>
    <row r="168" spans="1:11" ht="16.8" x14ac:dyDescent="0.4">
      <c r="A168" s="62"/>
      <c r="B168" s="62"/>
      <c r="C168" s="62"/>
      <c r="D168" s="62"/>
      <c r="E168" s="62"/>
      <c r="F168" s="62"/>
      <c r="G168" s="62"/>
      <c r="H168" s="62"/>
      <c r="I168" s="63"/>
      <c r="J168" s="62"/>
      <c r="K168" s="61"/>
    </row>
    <row r="169" spans="1:11" ht="16.8" x14ac:dyDescent="0.4">
      <c r="A169" s="62"/>
      <c r="B169" s="62"/>
      <c r="C169" s="62"/>
      <c r="D169" s="62"/>
      <c r="E169" s="62"/>
      <c r="F169" s="62"/>
      <c r="G169" s="62"/>
      <c r="H169" s="62"/>
      <c r="I169" s="63"/>
      <c r="J169" s="62"/>
      <c r="K169" s="61"/>
    </row>
    <row r="170" spans="1:11" ht="16.8" x14ac:dyDescent="0.4">
      <c r="A170" s="62"/>
      <c r="B170" s="62"/>
      <c r="C170" s="62"/>
      <c r="D170" s="62"/>
      <c r="E170" s="62"/>
      <c r="F170" s="62"/>
      <c r="G170" s="62"/>
      <c r="H170" s="62"/>
      <c r="I170" s="63"/>
      <c r="J170" s="62"/>
      <c r="K170" s="61"/>
    </row>
    <row r="171" spans="1:11" ht="16.8" x14ac:dyDescent="0.4">
      <c r="A171" s="62"/>
      <c r="B171" s="62"/>
      <c r="C171" s="62"/>
      <c r="D171" s="62"/>
      <c r="E171" s="62"/>
      <c r="F171" s="62"/>
      <c r="G171" s="62"/>
      <c r="H171" s="62"/>
      <c r="I171" s="63"/>
      <c r="J171" s="62"/>
      <c r="K171" s="61"/>
    </row>
    <row r="172" spans="1:11" ht="16.8" x14ac:dyDescent="0.4">
      <c r="A172" s="62"/>
      <c r="B172" s="62"/>
      <c r="C172" s="62"/>
      <c r="D172" s="62"/>
      <c r="E172" s="62"/>
      <c r="F172" s="62"/>
      <c r="G172" s="62"/>
      <c r="H172" s="62"/>
      <c r="I172" s="63"/>
      <c r="J172" s="62"/>
      <c r="K172" s="61"/>
    </row>
    <row r="173" spans="1:11" ht="16.8" x14ac:dyDescent="0.4">
      <c r="A173" s="62"/>
      <c r="B173" s="62"/>
      <c r="C173" s="62"/>
      <c r="D173" s="62"/>
      <c r="E173" s="62"/>
      <c r="F173" s="62"/>
      <c r="G173" s="62"/>
      <c r="H173" s="62"/>
      <c r="I173" s="63"/>
      <c r="J173" s="62"/>
      <c r="K173" s="61"/>
    </row>
    <row r="174" spans="1:11" ht="16.8" x14ac:dyDescent="0.4">
      <c r="A174" s="62"/>
      <c r="B174" s="62"/>
      <c r="C174" s="62"/>
      <c r="D174" s="62"/>
      <c r="E174" s="62"/>
      <c r="F174" s="62"/>
      <c r="G174" s="62"/>
      <c r="H174" s="62"/>
      <c r="I174" s="63"/>
      <c r="J174" s="62"/>
      <c r="K174" s="61"/>
    </row>
    <row r="175" spans="1:11" ht="16.8" x14ac:dyDescent="0.4">
      <c r="A175" s="62"/>
      <c r="B175" s="62"/>
      <c r="C175" s="62"/>
      <c r="D175" s="62"/>
      <c r="E175" s="62"/>
      <c r="F175" s="62"/>
      <c r="G175" s="62"/>
      <c r="H175" s="62"/>
      <c r="I175" s="63"/>
      <c r="J175" s="62"/>
      <c r="K175" s="61"/>
    </row>
    <row r="176" spans="1:11" ht="16.8" x14ac:dyDescent="0.4">
      <c r="A176" s="62"/>
      <c r="B176" s="62"/>
      <c r="C176" s="62"/>
      <c r="D176" s="62"/>
      <c r="E176" s="62"/>
      <c r="F176" s="62"/>
      <c r="G176" s="62"/>
      <c r="H176" s="62"/>
      <c r="I176" s="63"/>
      <c r="J176" s="62"/>
      <c r="K176" s="61"/>
    </row>
    <row r="177" spans="1:11" ht="16.8" x14ac:dyDescent="0.4">
      <c r="A177" s="62"/>
      <c r="B177" s="62"/>
      <c r="C177" s="62"/>
      <c r="D177" s="62"/>
      <c r="E177" s="62"/>
      <c r="F177" s="62"/>
      <c r="G177" s="62"/>
      <c r="H177" s="62"/>
      <c r="I177" s="63"/>
      <c r="J177" s="62"/>
      <c r="K177" s="61"/>
    </row>
    <row r="178" spans="1:11" ht="16.8" x14ac:dyDescent="0.4">
      <c r="A178" s="62"/>
      <c r="B178" s="62"/>
      <c r="C178" s="62"/>
      <c r="D178" s="62"/>
      <c r="E178" s="62"/>
      <c r="F178" s="62"/>
      <c r="G178" s="62"/>
      <c r="H178" s="62"/>
      <c r="I178" s="63"/>
      <c r="J178" s="62"/>
      <c r="K178" s="61"/>
    </row>
    <row r="179" spans="1:11" ht="16.8" x14ac:dyDescent="0.4">
      <c r="A179" s="62"/>
      <c r="B179" s="62"/>
      <c r="C179" s="62"/>
      <c r="D179" s="62"/>
      <c r="E179" s="62"/>
      <c r="F179" s="62"/>
      <c r="G179" s="62"/>
      <c r="H179" s="62"/>
      <c r="I179" s="63"/>
      <c r="J179" s="62"/>
      <c r="K179" s="61"/>
    </row>
    <row r="180" spans="1:11" ht="16.8" x14ac:dyDescent="0.4">
      <c r="A180" s="62"/>
      <c r="B180" s="62"/>
      <c r="C180" s="62"/>
      <c r="D180" s="62"/>
      <c r="E180" s="62"/>
      <c r="F180" s="62"/>
      <c r="G180" s="62"/>
      <c r="H180" s="62"/>
      <c r="I180" s="63"/>
      <c r="J180" s="62"/>
      <c r="K180" s="61"/>
    </row>
    <row r="181" spans="1:11" ht="16.8" x14ac:dyDescent="0.4">
      <c r="A181" s="62"/>
      <c r="B181" s="62"/>
      <c r="C181" s="62"/>
      <c r="D181" s="62"/>
      <c r="E181" s="62"/>
      <c r="F181" s="62"/>
      <c r="G181" s="62"/>
      <c r="H181" s="62"/>
      <c r="I181" s="63"/>
      <c r="J181" s="62"/>
      <c r="K181" s="61"/>
    </row>
    <row r="182" spans="1:11" ht="16.8" x14ac:dyDescent="0.4">
      <c r="A182" s="62"/>
      <c r="B182" s="62"/>
      <c r="C182" s="62"/>
      <c r="D182" s="62"/>
      <c r="E182" s="62"/>
      <c r="F182" s="62"/>
      <c r="G182" s="62"/>
      <c r="H182" s="62"/>
      <c r="I182" s="63"/>
      <c r="J182" s="62"/>
      <c r="K182" s="61"/>
    </row>
    <row r="183" spans="1:11" ht="16.8" x14ac:dyDescent="0.4">
      <c r="A183" s="62"/>
      <c r="B183" s="62"/>
      <c r="C183" s="62"/>
      <c r="D183" s="62"/>
      <c r="E183" s="62"/>
      <c r="F183" s="62"/>
      <c r="G183" s="62"/>
      <c r="H183" s="62"/>
      <c r="I183" s="63"/>
      <c r="J183" s="62"/>
      <c r="K183" s="61"/>
    </row>
    <row r="184" spans="1:11" ht="16.8" x14ac:dyDescent="0.4">
      <c r="A184" s="62"/>
      <c r="B184" s="62"/>
      <c r="C184" s="62"/>
      <c r="D184" s="62"/>
      <c r="E184" s="62"/>
      <c r="F184" s="62"/>
      <c r="G184" s="62"/>
      <c r="H184" s="62"/>
      <c r="I184" s="63"/>
      <c r="J184" s="62"/>
      <c r="K184" s="61"/>
    </row>
    <row r="185" spans="1:11" ht="16.8" x14ac:dyDescent="0.4">
      <c r="A185" s="62"/>
      <c r="B185" s="62"/>
      <c r="C185" s="62"/>
      <c r="D185" s="62"/>
      <c r="E185" s="62"/>
      <c r="F185" s="62"/>
      <c r="G185" s="62"/>
      <c r="H185" s="62"/>
      <c r="I185" s="63"/>
      <c r="J185" s="62"/>
      <c r="K185" s="61"/>
    </row>
    <row r="186" spans="1:11" ht="16.8" x14ac:dyDescent="0.4">
      <c r="A186" s="62"/>
      <c r="B186" s="62"/>
      <c r="C186" s="62"/>
      <c r="D186" s="62"/>
      <c r="E186" s="62"/>
      <c r="F186" s="62"/>
      <c r="G186" s="62"/>
      <c r="H186" s="62"/>
      <c r="I186" s="63"/>
      <c r="J186" s="62"/>
      <c r="K186" s="61"/>
    </row>
    <row r="187" spans="1:11" ht="16.8" x14ac:dyDescent="0.4">
      <c r="A187" s="62"/>
      <c r="B187" s="62"/>
      <c r="C187" s="62"/>
      <c r="D187" s="62"/>
      <c r="E187" s="62"/>
      <c r="F187" s="62"/>
      <c r="G187" s="62"/>
      <c r="H187" s="62"/>
      <c r="I187" s="63"/>
      <c r="J187" s="62"/>
      <c r="K187" s="61"/>
    </row>
    <row r="188" spans="1:11" ht="16.8" x14ac:dyDescent="0.4">
      <c r="A188" s="62"/>
      <c r="B188" s="62"/>
      <c r="C188" s="62"/>
      <c r="D188" s="62"/>
      <c r="E188" s="62"/>
      <c r="F188" s="62"/>
      <c r="G188" s="62"/>
      <c r="H188" s="62"/>
      <c r="I188" s="63"/>
      <c r="J188" s="62"/>
      <c r="K188" s="61"/>
    </row>
    <row r="189" spans="1:11" ht="16.8" x14ac:dyDescent="0.4">
      <c r="A189" s="62"/>
      <c r="B189" s="62"/>
      <c r="C189" s="62"/>
      <c r="D189" s="62"/>
      <c r="E189" s="62"/>
      <c r="F189" s="62"/>
      <c r="G189" s="62"/>
      <c r="H189" s="62"/>
      <c r="I189" s="63"/>
      <c r="J189" s="62"/>
      <c r="K189" s="61"/>
    </row>
    <row r="190" spans="1:11" ht="16.8" x14ac:dyDescent="0.4">
      <c r="A190" s="62"/>
      <c r="B190" s="62"/>
      <c r="C190" s="62"/>
      <c r="D190" s="62"/>
      <c r="E190" s="62"/>
      <c r="F190" s="62"/>
      <c r="G190" s="62"/>
      <c r="H190" s="62"/>
      <c r="I190" s="63"/>
      <c r="J190" s="62"/>
      <c r="K190" s="61"/>
    </row>
    <row r="191" spans="1:11" ht="16.8" x14ac:dyDescent="0.4">
      <c r="A191" s="62"/>
      <c r="B191" s="62"/>
      <c r="C191" s="62"/>
      <c r="D191" s="62"/>
      <c r="E191" s="62"/>
      <c r="F191" s="62"/>
      <c r="G191" s="62"/>
      <c r="H191" s="62"/>
      <c r="I191" s="63"/>
      <c r="J191" s="62"/>
      <c r="K191" s="61"/>
    </row>
  </sheetData>
  <mergeCells count="1">
    <mergeCell ref="A1:K1"/>
  </mergeCells>
  <conditionalFormatting sqref="E2:E4 E11 E53:E65573 E13:E14">
    <cfRule type="cellIs" dxfId="42" priority="22" stopIfTrue="1" operator="equal">
      <formula>"NFIT"</formula>
    </cfRule>
  </conditionalFormatting>
  <conditionalFormatting sqref="C2">
    <cfRule type="cellIs" dxfId="41" priority="21" stopIfTrue="1" operator="equal">
      <formula>"NFIT"</formula>
    </cfRule>
  </conditionalFormatting>
  <conditionalFormatting sqref="B12">
    <cfRule type="cellIs" dxfId="40" priority="20" stopIfTrue="1" operator="equal">
      <formula>"NFIT"</formula>
    </cfRule>
  </conditionalFormatting>
  <conditionalFormatting sqref="E15:E16">
    <cfRule type="cellIs" dxfId="39" priority="19" stopIfTrue="1" operator="equal">
      <formula>"NFIT"</formula>
    </cfRule>
  </conditionalFormatting>
  <conditionalFormatting sqref="E17:E18">
    <cfRule type="cellIs" dxfId="38" priority="18" stopIfTrue="1" operator="equal">
      <formula>"NFIT"</formula>
    </cfRule>
  </conditionalFormatting>
  <conditionalFormatting sqref="E19:E20">
    <cfRule type="cellIs" dxfId="37" priority="17" stopIfTrue="1" operator="equal">
      <formula>"NFIT"</formula>
    </cfRule>
  </conditionalFormatting>
  <conditionalFormatting sqref="E21:E22">
    <cfRule type="cellIs" dxfId="36" priority="16" stopIfTrue="1" operator="equal">
      <formula>"NFIT"</formula>
    </cfRule>
  </conditionalFormatting>
  <conditionalFormatting sqref="E23:E24">
    <cfRule type="cellIs" dxfId="35" priority="15" stopIfTrue="1" operator="equal">
      <formula>"NFIT"</formula>
    </cfRule>
  </conditionalFormatting>
  <conditionalFormatting sqref="E25:E26">
    <cfRule type="cellIs" dxfId="34" priority="14" stopIfTrue="1" operator="equal">
      <formula>"NFIT"</formula>
    </cfRule>
  </conditionalFormatting>
  <conditionalFormatting sqref="E27:E28">
    <cfRule type="cellIs" dxfId="33" priority="13" stopIfTrue="1" operator="equal">
      <formula>"NFIT"</formula>
    </cfRule>
  </conditionalFormatting>
  <conditionalFormatting sqref="E29:E30">
    <cfRule type="cellIs" dxfId="32" priority="12" stopIfTrue="1" operator="equal">
      <formula>"NFIT"</formula>
    </cfRule>
  </conditionalFormatting>
  <conditionalFormatting sqref="E31:E32">
    <cfRule type="cellIs" dxfId="31" priority="11" stopIfTrue="1" operator="equal">
      <formula>"NFIT"</formula>
    </cfRule>
  </conditionalFormatting>
  <conditionalFormatting sqref="E33:E34">
    <cfRule type="cellIs" dxfId="30" priority="10" stopIfTrue="1" operator="equal">
      <formula>"NFIT"</formula>
    </cfRule>
  </conditionalFormatting>
  <conditionalFormatting sqref="E35:E36">
    <cfRule type="cellIs" dxfId="29" priority="9" stopIfTrue="1" operator="equal">
      <formula>"NFIT"</formula>
    </cfRule>
  </conditionalFormatting>
  <conditionalFormatting sqref="E37:E38">
    <cfRule type="cellIs" dxfId="28" priority="8" stopIfTrue="1" operator="equal">
      <formula>"NFIT"</formula>
    </cfRule>
  </conditionalFormatting>
  <conditionalFormatting sqref="E39:E40">
    <cfRule type="cellIs" dxfId="27" priority="7" stopIfTrue="1" operator="equal">
      <formula>"NFIT"</formula>
    </cfRule>
  </conditionalFormatting>
  <conditionalFormatting sqref="E41:E42">
    <cfRule type="cellIs" dxfId="26" priority="6" stopIfTrue="1" operator="equal">
      <formula>"NFIT"</formula>
    </cfRule>
  </conditionalFormatting>
  <conditionalFormatting sqref="E43:E44">
    <cfRule type="cellIs" dxfId="25" priority="5" stopIfTrue="1" operator="equal">
      <formula>"NFIT"</formula>
    </cfRule>
  </conditionalFormatting>
  <conditionalFormatting sqref="E45:E46">
    <cfRule type="cellIs" dxfId="24" priority="4" stopIfTrue="1" operator="equal">
      <formula>"NFIT"</formula>
    </cfRule>
  </conditionalFormatting>
  <conditionalFormatting sqref="E47:E48">
    <cfRule type="cellIs" dxfId="23" priority="3" stopIfTrue="1" operator="equal">
      <formula>"NFIT"</formula>
    </cfRule>
  </conditionalFormatting>
  <conditionalFormatting sqref="E49:E50">
    <cfRule type="cellIs" dxfId="22" priority="2" stopIfTrue="1" operator="equal">
      <formula>"NFIT"</formula>
    </cfRule>
  </conditionalFormatting>
  <conditionalFormatting sqref="E51:E52">
    <cfRule type="cellIs" dxfId="21" priority="1" stopIfTrue="1" operator="equal">
      <formula>"NFIT"</formula>
    </cfRule>
  </conditionalFormatting>
  <pageMargins left="0.74803149606299213" right="0.74803149606299213" top="0.98425196850393704" bottom="0.98425196850393704" header="0.51181102362204722" footer="0.51181102362204722"/>
  <pageSetup paperSize="9" scale="65" fitToHeight="9" orientation="landscape" r:id="rId1"/>
  <headerFooter>
    <oddFooter>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191"/>
  <sheetViews>
    <sheetView view="pageLayout" zoomScaleNormal="85" zoomScaleSheetLayoutView="85" workbookViewId="0">
      <selection activeCell="B3" sqref="B3"/>
    </sheetView>
  </sheetViews>
  <sheetFormatPr defaultRowHeight="13.2" x14ac:dyDescent="0.25"/>
  <cols>
    <col min="1" max="1" width="15.21875" style="2" customWidth="1"/>
    <col min="2" max="2" width="27" style="2" customWidth="1"/>
    <col min="3" max="3" width="16.77734375" customWidth="1"/>
    <col min="4" max="4" width="14.77734375" bestFit="1" customWidth="1"/>
    <col min="5" max="5" width="16.21875" customWidth="1"/>
    <col min="6" max="6" width="14.5546875" customWidth="1"/>
    <col min="7" max="7" width="17.5546875" customWidth="1"/>
    <col min="8" max="8" width="23.21875" customWidth="1"/>
    <col min="9" max="9" width="9.5546875" style="16" customWidth="1"/>
    <col min="10" max="10" width="10.77734375" style="1" customWidth="1"/>
    <col min="11" max="11" width="32.21875" customWidth="1"/>
    <col min="15" max="15" width="33.77734375" customWidth="1"/>
  </cols>
  <sheetData>
    <row r="1" spans="1:11" ht="14.4" thickBot="1" x14ac:dyDescent="0.3">
      <c r="A1" s="97" t="s">
        <v>11</v>
      </c>
      <c r="B1" s="97"/>
      <c r="C1" s="97"/>
      <c r="D1" s="97"/>
      <c r="E1" s="97"/>
      <c r="F1" s="97"/>
      <c r="G1" s="97"/>
      <c r="H1" s="97"/>
      <c r="I1" s="97"/>
      <c r="J1" s="97"/>
      <c r="K1" s="98"/>
    </row>
    <row r="2" spans="1:11" ht="13.8" x14ac:dyDescent="0.25">
      <c r="A2" s="3" t="s">
        <v>0</v>
      </c>
      <c r="B2" s="4"/>
      <c r="C2" s="5"/>
      <c r="D2" s="6"/>
      <c r="E2" s="6"/>
      <c r="F2" s="6"/>
      <c r="G2" s="6"/>
      <c r="H2" s="6"/>
      <c r="I2" s="15"/>
      <c r="J2" s="8"/>
      <c r="K2" s="4" t="s">
        <v>97</v>
      </c>
    </row>
    <row r="3" spans="1:11" ht="13.8" x14ac:dyDescent="0.25">
      <c r="A3" s="9" t="s">
        <v>1</v>
      </c>
      <c r="B3" s="10" t="s">
        <v>98</v>
      </c>
      <c r="C3" s="7"/>
      <c r="D3" s="6"/>
      <c r="E3" s="6"/>
      <c r="F3" s="6"/>
      <c r="G3" s="6"/>
      <c r="H3" s="6"/>
      <c r="I3" s="15"/>
      <c r="J3" s="6"/>
      <c r="K3" s="10"/>
    </row>
    <row r="4" spans="1:11" ht="13.8" x14ac:dyDescent="0.25">
      <c r="A4" s="9" t="s">
        <v>14</v>
      </c>
      <c r="B4" s="20" t="str">
        <f>BOM!$B$4</f>
        <v>00001-2-HAR-A-01.PrjPcb</v>
      </c>
      <c r="C4" s="7"/>
      <c r="D4" s="6"/>
      <c r="E4" s="6"/>
      <c r="F4" s="6"/>
      <c r="G4" s="6"/>
      <c r="H4" s="6"/>
      <c r="I4" s="15"/>
      <c r="J4" s="6"/>
      <c r="K4" s="10"/>
    </row>
    <row r="5" spans="1:11" ht="13.8" x14ac:dyDescent="0.25">
      <c r="A5" s="9" t="s">
        <v>10</v>
      </c>
      <c r="B5" s="10" t="str">
        <f>BOM!$B$5</f>
        <v>1-2-HAR-A-</v>
      </c>
      <c r="C5" s="6"/>
      <c r="D5" s="6"/>
      <c r="E5" s="6"/>
      <c r="F5" s="6"/>
      <c r="G5" s="6"/>
      <c r="H5" s="6"/>
      <c r="I5" s="15"/>
      <c r="J5" s="6"/>
      <c r="K5" s="10"/>
    </row>
    <row r="6" spans="1:11" ht="13.8" x14ac:dyDescent="0.25">
      <c r="A6" s="9" t="s">
        <v>2</v>
      </c>
      <c r="B6" s="10" t="str">
        <f>BOM!$B$6</f>
        <v>1-2-H</v>
      </c>
      <c r="C6" s="6"/>
      <c r="D6" s="6"/>
      <c r="E6" s="6"/>
      <c r="F6" s="6"/>
      <c r="G6" s="6"/>
      <c r="H6" s="6"/>
      <c r="I6" s="15"/>
      <c r="J6" s="6"/>
      <c r="K6" s="10"/>
    </row>
    <row r="7" spans="1:11" ht="13.8" x14ac:dyDescent="0.25">
      <c r="A7" s="9" t="s">
        <v>3</v>
      </c>
      <c r="B7" s="10" t="str">
        <f>BOM!$B$7</f>
        <v>A-</v>
      </c>
      <c r="C7" s="6"/>
      <c r="D7" s="6"/>
      <c r="E7" s="6"/>
      <c r="F7" s="6"/>
      <c r="G7" s="6"/>
      <c r="H7" s="6"/>
      <c r="I7" s="15"/>
      <c r="J7" s="12" t="s">
        <v>4</v>
      </c>
      <c r="K7" s="10"/>
    </row>
    <row r="8" spans="1:11" ht="13.8" x14ac:dyDescent="0.25">
      <c r="A8" s="17" t="s">
        <v>9</v>
      </c>
      <c r="B8" s="20" t="str">
        <f>BOM!$B$8</f>
        <v>9/20/2024</v>
      </c>
      <c r="C8" s="6"/>
      <c r="D8" s="6"/>
      <c r="E8" s="6"/>
      <c r="F8" s="6"/>
      <c r="G8" s="6"/>
      <c r="H8" s="6"/>
      <c r="I8" s="15"/>
      <c r="J8" s="12" t="s">
        <v>5</v>
      </c>
      <c r="K8" s="10"/>
    </row>
    <row r="9" spans="1:11" ht="13.8" x14ac:dyDescent="0.25">
      <c r="A9" s="13" t="s">
        <v>90</v>
      </c>
      <c r="B9" s="11" t="str">
        <f>BOM!$B$9</f>
        <v>Varun</v>
      </c>
      <c r="C9" s="6"/>
      <c r="D9" s="6"/>
      <c r="E9" s="6"/>
      <c r="F9" s="6"/>
      <c r="G9" s="6"/>
      <c r="H9" s="6"/>
      <c r="I9" s="15"/>
      <c r="J9" s="14" t="s">
        <v>6</v>
      </c>
      <c r="K9" s="94"/>
    </row>
    <row r="10" spans="1:11" ht="13.8" thickBot="1" x14ac:dyDescent="0.3">
      <c r="A10" s="107"/>
      <c r="B10" s="108"/>
      <c r="C10" s="109"/>
      <c r="D10" s="109"/>
      <c r="E10" s="109"/>
      <c r="F10" s="109"/>
      <c r="G10" s="109"/>
      <c r="H10" s="109"/>
      <c r="I10" s="109"/>
      <c r="J10" s="109"/>
      <c r="K10" s="110"/>
    </row>
    <row r="11" spans="1:11" x14ac:dyDescent="0.25">
      <c r="A11" s="111"/>
      <c r="B11" s="112"/>
      <c r="C11" s="113"/>
      <c r="D11" s="113"/>
      <c r="E11" s="113"/>
      <c r="F11" s="113"/>
      <c r="G11" s="113"/>
      <c r="H11" s="113"/>
      <c r="I11" s="113"/>
      <c r="J11" s="113"/>
      <c r="K11" s="114"/>
    </row>
    <row r="12" spans="1:11" ht="15" x14ac:dyDescent="0.4">
      <c r="A12" s="99" t="s">
        <v>101</v>
      </c>
      <c r="B12" s="105"/>
      <c r="C12" s="99" t="s">
        <v>222</v>
      </c>
      <c r="D12" s="105"/>
      <c r="E12" s="99" t="s">
        <v>341</v>
      </c>
      <c r="F12" s="105"/>
      <c r="G12" s="99" t="s">
        <v>12</v>
      </c>
      <c r="H12" s="105"/>
      <c r="I12" s="99" t="s">
        <v>13</v>
      </c>
      <c r="J12" s="100"/>
      <c r="K12" s="101"/>
    </row>
    <row r="13" spans="1:11" ht="16.8" x14ac:dyDescent="0.4">
      <c r="A13" s="106" t="s">
        <v>102</v>
      </c>
      <c r="B13" s="104"/>
      <c r="C13" s="106" t="s">
        <v>223</v>
      </c>
      <c r="D13" s="104"/>
      <c r="E13" s="106"/>
      <c r="F13" s="104"/>
      <c r="G13" s="106"/>
      <c r="H13" s="104"/>
      <c r="I13" s="102"/>
      <c r="J13" s="103"/>
      <c r="K13" s="104"/>
    </row>
    <row r="14" spans="1:11" ht="16.8" x14ac:dyDescent="0.4">
      <c r="A14" s="106" t="s">
        <v>103</v>
      </c>
      <c r="B14" s="104"/>
      <c r="C14" s="106" t="s">
        <v>223</v>
      </c>
      <c r="D14" s="104"/>
      <c r="E14" s="106"/>
      <c r="F14" s="104"/>
      <c r="G14" s="106"/>
      <c r="H14" s="104"/>
      <c r="I14" s="102"/>
      <c r="J14" s="103"/>
      <c r="K14" s="104"/>
    </row>
    <row r="15" spans="1:11" ht="16.8" x14ac:dyDescent="0.4">
      <c r="A15" s="106" t="s">
        <v>104</v>
      </c>
      <c r="B15" s="104"/>
      <c r="C15" s="106" t="s">
        <v>223</v>
      </c>
      <c r="D15" s="104"/>
      <c r="E15" s="106"/>
      <c r="F15" s="104"/>
      <c r="G15" s="106"/>
      <c r="H15" s="104"/>
      <c r="I15" s="102"/>
      <c r="J15" s="103"/>
      <c r="K15" s="104"/>
    </row>
    <row r="16" spans="1:11" ht="16.8" x14ac:dyDescent="0.4">
      <c r="A16" s="106" t="s">
        <v>105</v>
      </c>
      <c r="B16" s="104"/>
      <c r="C16" s="106" t="s">
        <v>223</v>
      </c>
      <c r="D16" s="104"/>
      <c r="E16" s="106"/>
      <c r="F16" s="104"/>
      <c r="G16" s="106"/>
      <c r="H16" s="104"/>
      <c r="I16" s="102"/>
      <c r="J16" s="103"/>
      <c r="K16" s="104"/>
    </row>
    <row r="17" spans="1:11" ht="16.8" x14ac:dyDescent="0.4">
      <c r="A17" s="106" t="s">
        <v>106</v>
      </c>
      <c r="B17" s="104"/>
      <c r="C17" s="106" t="s">
        <v>223</v>
      </c>
      <c r="D17" s="104"/>
      <c r="E17" s="106"/>
      <c r="F17" s="104"/>
      <c r="G17" s="106"/>
      <c r="H17" s="104"/>
      <c r="I17" s="102"/>
      <c r="J17" s="103"/>
      <c r="K17" s="104"/>
    </row>
    <row r="18" spans="1:11" ht="16.8" x14ac:dyDescent="0.4">
      <c r="A18" s="106" t="s">
        <v>107</v>
      </c>
      <c r="B18" s="104"/>
      <c r="C18" s="106" t="s">
        <v>223</v>
      </c>
      <c r="D18" s="104"/>
      <c r="E18" s="106"/>
      <c r="F18" s="104"/>
      <c r="G18" s="106"/>
      <c r="H18" s="104"/>
      <c r="I18" s="102"/>
      <c r="J18" s="103"/>
      <c r="K18" s="104"/>
    </row>
    <row r="19" spans="1:11" ht="16.8" x14ac:dyDescent="0.4">
      <c r="A19" s="106" t="s">
        <v>108</v>
      </c>
      <c r="B19" s="104"/>
      <c r="C19" s="106" t="s">
        <v>223</v>
      </c>
      <c r="D19" s="104"/>
      <c r="E19" s="106"/>
      <c r="F19" s="104"/>
      <c r="G19" s="106"/>
      <c r="H19" s="104"/>
      <c r="I19" s="102"/>
      <c r="J19" s="103"/>
      <c r="K19" s="104"/>
    </row>
    <row r="20" spans="1:11" ht="16.8" x14ac:dyDescent="0.4">
      <c r="A20" s="106" t="s">
        <v>109</v>
      </c>
      <c r="B20" s="104"/>
      <c r="C20" s="106" t="s">
        <v>223</v>
      </c>
      <c r="D20" s="104"/>
      <c r="E20" s="106"/>
      <c r="F20" s="104"/>
      <c r="G20" s="106"/>
      <c r="H20" s="104"/>
      <c r="I20" s="102"/>
      <c r="J20" s="103"/>
      <c r="K20" s="104"/>
    </row>
    <row r="21" spans="1:11" ht="16.8" x14ac:dyDescent="0.4">
      <c r="A21" s="106" t="s">
        <v>110</v>
      </c>
      <c r="B21" s="104"/>
      <c r="C21" s="106" t="s">
        <v>223</v>
      </c>
      <c r="D21" s="104"/>
      <c r="E21" s="106"/>
      <c r="F21" s="104"/>
      <c r="G21" s="106"/>
      <c r="H21" s="104"/>
      <c r="I21" s="102"/>
      <c r="J21" s="103"/>
      <c r="K21" s="104"/>
    </row>
    <row r="22" spans="1:11" ht="16.8" x14ac:dyDescent="0.4">
      <c r="A22" s="106" t="s">
        <v>111</v>
      </c>
      <c r="B22" s="104"/>
      <c r="C22" s="106" t="s">
        <v>223</v>
      </c>
      <c r="D22" s="104"/>
      <c r="E22" s="106"/>
      <c r="F22" s="104"/>
      <c r="G22" s="106"/>
      <c r="H22" s="104"/>
      <c r="I22" s="102"/>
      <c r="J22" s="103"/>
      <c r="K22" s="104"/>
    </row>
    <row r="23" spans="1:11" ht="16.8" x14ac:dyDescent="0.4">
      <c r="A23" s="106" t="s">
        <v>112</v>
      </c>
      <c r="B23" s="104"/>
      <c r="C23" s="106" t="s">
        <v>223</v>
      </c>
      <c r="D23" s="104"/>
      <c r="E23" s="106"/>
      <c r="F23" s="104"/>
      <c r="G23" s="106"/>
      <c r="H23" s="104"/>
      <c r="I23" s="102"/>
      <c r="J23" s="103"/>
      <c r="K23" s="104"/>
    </row>
    <row r="24" spans="1:11" ht="16.8" x14ac:dyDescent="0.4">
      <c r="A24" s="106" t="s">
        <v>113</v>
      </c>
      <c r="B24" s="104"/>
      <c r="C24" s="106" t="s">
        <v>223</v>
      </c>
      <c r="D24" s="104"/>
      <c r="E24" s="106"/>
      <c r="F24" s="104"/>
      <c r="G24" s="106"/>
      <c r="H24" s="104"/>
      <c r="I24" s="102"/>
      <c r="J24" s="103"/>
      <c r="K24" s="104"/>
    </row>
    <row r="25" spans="1:11" ht="16.8" x14ac:dyDescent="0.4">
      <c r="A25" s="106" t="s">
        <v>114</v>
      </c>
      <c r="B25" s="104"/>
      <c r="C25" s="106" t="s">
        <v>223</v>
      </c>
      <c r="D25" s="104"/>
      <c r="E25" s="106"/>
      <c r="F25" s="104"/>
      <c r="G25" s="106"/>
      <c r="H25" s="104"/>
      <c r="I25" s="102"/>
      <c r="J25" s="103"/>
      <c r="K25" s="104"/>
    </row>
    <row r="26" spans="1:11" ht="16.8" x14ac:dyDescent="0.4">
      <c r="A26" s="106" t="s">
        <v>115</v>
      </c>
      <c r="B26" s="104"/>
      <c r="C26" s="106" t="s">
        <v>223</v>
      </c>
      <c r="D26" s="104"/>
      <c r="E26" s="106"/>
      <c r="F26" s="104"/>
      <c r="G26" s="106"/>
      <c r="H26" s="104"/>
      <c r="I26" s="102"/>
      <c r="J26" s="103"/>
      <c r="K26" s="104"/>
    </row>
    <row r="27" spans="1:11" ht="16.8" x14ac:dyDescent="0.4">
      <c r="A27" s="106" t="s">
        <v>116</v>
      </c>
      <c r="B27" s="104"/>
      <c r="C27" s="106" t="s">
        <v>224</v>
      </c>
      <c r="D27" s="104"/>
      <c r="E27" s="106"/>
      <c r="F27" s="104"/>
      <c r="G27" s="106"/>
      <c r="H27" s="104"/>
      <c r="I27" s="102"/>
      <c r="J27" s="103"/>
      <c r="K27" s="104"/>
    </row>
    <row r="28" spans="1:11" ht="16.8" x14ac:dyDescent="0.4">
      <c r="A28" s="106" t="s">
        <v>117</v>
      </c>
      <c r="B28" s="104"/>
      <c r="C28" s="106" t="s">
        <v>223</v>
      </c>
      <c r="D28" s="104"/>
      <c r="E28" s="106"/>
      <c r="F28" s="104"/>
      <c r="G28" s="106"/>
      <c r="H28" s="104"/>
      <c r="I28" s="102"/>
      <c r="J28" s="103"/>
      <c r="K28" s="104"/>
    </row>
    <row r="29" spans="1:11" ht="16.8" x14ac:dyDescent="0.4">
      <c r="A29" s="106" t="s">
        <v>118</v>
      </c>
      <c r="B29" s="104"/>
      <c r="C29" s="106" t="s">
        <v>223</v>
      </c>
      <c r="D29" s="104"/>
      <c r="E29" s="106"/>
      <c r="F29" s="104"/>
      <c r="G29" s="106"/>
      <c r="H29" s="104"/>
      <c r="I29" s="102"/>
      <c r="J29" s="103"/>
      <c r="K29" s="104"/>
    </row>
    <row r="30" spans="1:11" ht="16.8" x14ac:dyDescent="0.4">
      <c r="A30" s="106" t="s">
        <v>119</v>
      </c>
      <c r="B30" s="104"/>
      <c r="C30" s="106" t="s">
        <v>223</v>
      </c>
      <c r="D30" s="104"/>
      <c r="E30" s="106"/>
      <c r="F30" s="104"/>
      <c r="G30" s="106"/>
      <c r="H30" s="104"/>
      <c r="I30" s="102"/>
      <c r="J30" s="103"/>
      <c r="K30" s="104"/>
    </row>
    <row r="31" spans="1:11" ht="16.8" x14ac:dyDescent="0.4">
      <c r="A31" s="106" t="s">
        <v>120</v>
      </c>
      <c r="B31" s="104"/>
      <c r="C31" s="106" t="s">
        <v>223</v>
      </c>
      <c r="D31" s="104"/>
      <c r="E31" s="106"/>
      <c r="F31" s="104"/>
      <c r="G31" s="106"/>
      <c r="H31" s="104"/>
      <c r="I31" s="102"/>
      <c r="J31" s="103"/>
      <c r="K31" s="104"/>
    </row>
    <row r="32" spans="1:11" ht="16.8" x14ac:dyDescent="0.4">
      <c r="A32" s="106" t="s">
        <v>121</v>
      </c>
      <c r="B32" s="104"/>
      <c r="C32" s="106" t="s">
        <v>223</v>
      </c>
      <c r="D32" s="104"/>
      <c r="E32" s="106"/>
      <c r="F32" s="104"/>
      <c r="G32" s="106"/>
      <c r="H32" s="104"/>
      <c r="I32" s="102"/>
      <c r="J32" s="103"/>
      <c r="K32" s="104"/>
    </row>
    <row r="33" spans="1:11" ht="16.8" x14ac:dyDescent="0.4">
      <c r="A33" s="106" t="s">
        <v>122</v>
      </c>
      <c r="B33" s="104"/>
      <c r="C33" s="106" t="s">
        <v>223</v>
      </c>
      <c r="D33" s="104"/>
      <c r="E33" s="106"/>
      <c r="F33" s="104"/>
      <c r="G33" s="106"/>
      <c r="H33" s="104"/>
      <c r="I33" s="102"/>
      <c r="J33" s="103"/>
      <c r="K33" s="104"/>
    </row>
    <row r="34" spans="1:11" ht="16.8" x14ac:dyDescent="0.4">
      <c r="A34" s="106" t="s">
        <v>123</v>
      </c>
      <c r="B34" s="104"/>
      <c r="C34" s="106" t="s">
        <v>223</v>
      </c>
      <c r="D34" s="104"/>
      <c r="E34" s="106"/>
      <c r="F34" s="104"/>
      <c r="G34" s="106"/>
      <c r="H34" s="104"/>
      <c r="I34" s="102"/>
      <c r="J34" s="103"/>
      <c r="K34" s="104"/>
    </row>
    <row r="35" spans="1:11" ht="16.8" x14ac:dyDescent="0.4">
      <c r="A35" s="106" t="s">
        <v>124</v>
      </c>
      <c r="B35" s="104"/>
      <c r="C35" s="106" t="s">
        <v>223</v>
      </c>
      <c r="D35" s="104"/>
      <c r="E35" s="106"/>
      <c r="F35" s="104"/>
      <c r="G35" s="106"/>
      <c r="H35" s="104"/>
      <c r="I35" s="102"/>
      <c r="J35" s="103"/>
      <c r="K35" s="104"/>
    </row>
    <row r="36" spans="1:11" ht="16.8" x14ac:dyDescent="0.4">
      <c r="A36" s="106" t="s">
        <v>125</v>
      </c>
      <c r="B36" s="104"/>
      <c r="C36" s="106" t="s">
        <v>223</v>
      </c>
      <c r="D36" s="104"/>
      <c r="E36" s="106"/>
      <c r="F36" s="104"/>
      <c r="G36" s="106"/>
      <c r="H36" s="104"/>
      <c r="I36" s="102"/>
      <c r="J36" s="103"/>
      <c r="K36" s="104"/>
    </row>
    <row r="37" spans="1:11" ht="16.8" x14ac:dyDescent="0.4">
      <c r="A37" s="106" t="s">
        <v>126</v>
      </c>
      <c r="B37" s="104"/>
      <c r="C37" s="106" t="s">
        <v>223</v>
      </c>
      <c r="D37" s="104"/>
      <c r="E37" s="106"/>
      <c r="F37" s="104"/>
      <c r="G37" s="106"/>
      <c r="H37" s="104"/>
      <c r="I37" s="102"/>
      <c r="J37" s="103"/>
      <c r="K37" s="104"/>
    </row>
    <row r="38" spans="1:11" ht="16.8" x14ac:dyDescent="0.4">
      <c r="A38" s="106" t="s">
        <v>127</v>
      </c>
      <c r="B38" s="104"/>
      <c r="C38" s="106" t="s">
        <v>224</v>
      </c>
      <c r="D38" s="104"/>
      <c r="E38" s="106"/>
      <c r="F38" s="104"/>
      <c r="G38" s="106"/>
      <c r="H38" s="104"/>
      <c r="I38" s="102"/>
      <c r="J38" s="103"/>
      <c r="K38" s="104"/>
    </row>
    <row r="39" spans="1:11" ht="16.8" x14ac:dyDescent="0.4">
      <c r="A39" s="106" t="s">
        <v>128</v>
      </c>
      <c r="B39" s="104"/>
      <c r="C39" s="106" t="s">
        <v>223</v>
      </c>
      <c r="D39" s="104"/>
      <c r="E39" s="106"/>
      <c r="F39" s="104"/>
      <c r="G39" s="106"/>
      <c r="H39" s="104"/>
      <c r="I39" s="102"/>
      <c r="J39" s="103"/>
      <c r="K39" s="104"/>
    </row>
    <row r="40" spans="1:11" ht="16.8" x14ac:dyDescent="0.4">
      <c r="A40" s="106" t="s">
        <v>129</v>
      </c>
      <c r="B40" s="104"/>
      <c r="C40" s="106" t="s">
        <v>223</v>
      </c>
      <c r="D40" s="104"/>
      <c r="E40" s="106"/>
      <c r="F40" s="104"/>
      <c r="G40" s="106"/>
      <c r="H40" s="104"/>
      <c r="I40" s="102"/>
      <c r="J40" s="103"/>
      <c r="K40" s="104"/>
    </row>
    <row r="41" spans="1:11" ht="16.8" x14ac:dyDescent="0.4">
      <c r="A41" s="106" t="s">
        <v>130</v>
      </c>
      <c r="B41" s="104"/>
      <c r="C41" s="106" t="s">
        <v>223</v>
      </c>
      <c r="D41" s="104"/>
      <c r="E41" s="106"/>
      <c r="F41" s="104"/>
      <c r="G41" s="106"/>
      <c r="H41" s="104"/>
      <c r="I41" s="102"/>
      <c r="J41" s="103"/>
      <c r="K41" s="104"/>
    </row>
    <row r="42" spans="1:11" ht="16.8" x14ac:dyDescent="0.4">
      <c r="A42" s="106" t="s">
        <v>131</v>
      </c>
      <c r="B42" s="104"/>
      <c r="C42" s="106" t="s">
        <v>223</v>
      </c>
      <c r="D42" s="104"/>
      <c r="E42" s="106"/>
      <c r="F42" s="104"/>
      <c r="G42" s="106"/>
      <c r="H42" s="104"/>
      <c r="I42" s="102"/>
      <c r="J42" s="103"/>
      <c r="K42" s="104"/>
    </row>
    <row r="43" spans="1:11" ht="16.8" x14ac:dyDescent="0.4">
      <c r="A43" s="106" t="s">
        <v>132</v>
      </c>
      <c r="B43" s="104"/>
      <c r="C43" s="106" t="s">
        <v>223</v>
      </c>
      <c r="D43" s="104"/>
      <c r="E43" s="106"/>
      <c r="F43" s="104"/>
      <c r="G43" s="106"/>
      <c r="H43" s="104"/>
      <c r="I43" s="102"/>
      <c r="J43" s="103"/>
      <c r="K43" s="104"/>
    </row>
    <row r="44" spans="1:11" ht="16.8" x14ac:dyDescent="0.4">
      <c r="A44" s="106" t="s">
        <v>133</v>
      </c>
      <c r="B44" s="104"/>
      <c r="C44" s="106"/>
      <c r="D44" s="104"/>
      <c r="E44" s="106"/>
      <c r="F44" s="104"/>
      <c r="G44" s="106"/>
      <c r="H44" s="104"/>
      <c r="I44" s="102"/>
      <c r="J44" s="103"/>
      <c r="K44" s="104"/>
    </row>
    <row r="45" spans="1:11" ht="16.8" x14ac:dyDescent="0.4">
      <c r="A45" s="106" t="s">
        <v>134</v>
      </c>
      <c r="B45" s="104"/>
      <c r="C45" s="106" t="s">
        <v>223</v>
      </c>
      <c r="D45" s="104"/>
      <c r="E45" s="106"/>
      <c r="F45" s="104"/>
      <c r="G45" s="106"/>
      <c r="H45" s="104"/>
      <c r="I45" s="102"/>
      <c r="J45" s="103"/>
      <c r="K45" s="104"/>
    </row>
    <row r="46" spans="1:11" ht="16.8" x14ac:dyDescent="0.4">
      <c r="A46" s="106" t="s">
        <v>135</v>
      </c>
      <c r="B46" s="104"/>
      <c r="C46" s="106" t="s">
        <v>223</v>
      </c>
      <c r="D46" s="104"/>
      <c r="E46" s="106"/>
      <c r="F46" s="104"/>
      <c r="G46" s="106"/>
      <c r="H46" s="104"/>
      <c r="I46" s="102"/>
      <c r="J46" s="103"/>
      <c r="K46" s="104"/>
    </row>
    <row r="47" spans="1:11" ht="16.8" x14ac:dyDescent="0.4">
      <c r="A47" s="106" t="s">
        <v>136</v>
      </c>
      <c r="B47" s="104"/>
      <c r="C47" s="106" t="s">
        <v>223</v>
      </c>
      <c r="D47" s="104"/>
      <c r="E47" s="106"/>
      <c r="F47" s="104"/>
      <c r="G47" s="106"/>
      <c r="H47" s="104"/>
      <c r="I47" s="102"/>
      <c r="J47" s="103"/>
      <c r="K47" s="104"/>
    </row>
    <row r="48" spans="1:11" ht="16.8" x14ac:dyDescent="0.4">
      <c r="A48" s="106" t="s">
        <v>137</v>
      </c>
      <c r="B48" s="104"/>
      <c r="C48" s="106" t="s">
        <v>223</v>
      </c>
      <c r="D48" s="104"/>
      <c r="E48" s="106"/>
      <c r="F48" s="104"/>
      <c r="G48" s="106"/>
      <c r="H48" s="104"/>
      <c r="I48" s="102"/>
      <c r="J48" s="103"/>
      <c r="K48" s="104"/>
    </row>
    <row r="49" spans="1:16" ht="16.8" x14ac:dyDescent="0.4">
      <c r="A49" s="106" t="s">
        <v>138</v>
      </c>
      <c r="B49" s="104"/>
      <c r="C49" s="106" t="s">
        <v>223</v>
      </c>
      <c r="D49" s="104"/>
      <c r="E49" s="106"/>
      <c r="F49" s="104"/>
      <c r="G49" s="106"/>
      <c r="H49" s="104"/>
      <c r="I49" s="102"/>
      <c r="J49" s="103"/>
      <c r="K49" s="104"/>
    </row>
    <row r="50" spans="1:16" ht="16.8" x14ac:dyDescent="0.4">
      <c r="A50" s="106" t="s">
        <v>139</v>
      </c>
      <c r="B50" s="104"/>
      <c r="C50" s="106" t="s">
        <v>223</v>
      </c>
      <c r="D50" s="104"/>
      <c r="E50" s="106"/>
      <c r="F50" s="104"/>
      <c r="G50" s="106"/>
      <c r="H50" s="104"/>
      <c r="I50" s="102"/>
      <c r="J50" s="103"/>
      <c r="K50" s="104"/>
    </row>
    <row r="51" spans="1:16" ht="16.8" x14ac:dyDescent="0.4">
      <c r="A51" s="106" t="s">
        <v>140</v>
      </c>
      <c r="B51" s="104"/>
      <c r="C51" s="106" t="s">
        <v>223</v>
      </c>
      <c r="D51" s="104"/>
      <c r="E51" s="106"/>
      <c r="F51" s="104"/>
      <c r="G51" s="106"/>
      <c r="H51" s="104"/>
      <c r="I51" s="102"/>
      <c r="J51" s="103"/>
      <c r="K51" s="104"/>
    </row>
    <row r="52" spans="1:16" ht="16.8" x14ac:dyDescent="0.4">
      <c r="A52" s="106" t="s">
        <v>141</v>
      </c>
      <c r="B52" s="104"/>
      <c r="C52" s="106" t="s">
        <v>223</v>
      </c>
      <c r="D52" s="104"/>
      <c r="E52" s="106"/>
      <c r="F52" s="104"/>
      <c r="G52" s="106"/>
      <c r="H52" s="104"/>
      <c r="I52" s="102"/>
      <c r="J52" s="103"/>
      <c r="K52" s="104"/>
    </row>
    <row r="53" spans="1:16" ht="16.8" x14ac:dyDescent="0.4">
      <c r="A53" s="106"/>
      <c r="B53" s="104"/>
      <c r="C53" s="106"/>
      <c r="D53" s="104"/>
      <c r="E53" s="106"/>
      <c r="F53" s="104"/>
      <c r="G53" s="106"/>
      <c r="H53" s="104"/>
      <c r="I53" s="102"/>
      <c r="J53" s="103"/>
      <c r="K53" s="104"/>
      <c r="O53" s="18"/>
      <c r="P53" s="19"/>
    </row>
    <row r="54" spans="1:16" ht="16.8" x14ac:dyDescent="0.4">
      <c r="A54" s="106"/>
      <c r="B54" s="104"/>
      <c r="C54" s="106"/>
      <c r="D54" s="104"/>
      <c r="E54" s="106"/>
      <c r="F54" s="104"/>
      <c r="G54" s="106"/>
      <c r="H54" s="104"/>
      <c r="I54" s="102"/>
      <c r="J54" s="103"/>
      <c r="K54" s="104"/>
      <c r="O54" s="18"/>
      <c r="P54" s="19"/>
    </row>
    <row r="55" spans="1:16" ht="16.8" x14ac:dyDescent="0.4">
      <c r="A55" s="106"/>
      <c r="B55" s="104"/>
      <c r="C55" s="106"/>
      <c r="D55" s="104"/>
      <c r="E55" s="106"/>
      <c r="F55" s="104"/>
      <c r="G55" s="106"/>
      <c r="H55" s="104"/>
      <c r="I55" s="102"/>
      <c r="J55" s="103"/>
      <c r="K55" s="104"/>
      <c r="O55" s="18"/>
      <c r="P55" s="19"/>
    </row>
    <row r="56" spans="1:16" ht="16.8" x14ac:dyDescent="0.4">
      <c r="A56" s="106"/>
      <c r="B56" s="104"/>
      <c r="C56" s="106"/>
      <c r="D56" s="104"/>
      <c r="E56" s="106"/>
      <c r="F56" s="104"/>
      <c r="G56" s="106"/>
      <c r="H56" s="104"/>
      <c r="I56" s="102"/>
      <c r="J56" s="103"/>
      <c r="K56" s="104"/>
      <c r="O56" s="18"/>
      <c r="P56" s="19"/>
    </row>
    <row r="57" spans="1:16" ht="16.8" x14ac:dyDescent="0.4">
      <c r="A57" s="106"/>
      <c r="B57" s="104"/>
      <c r="C57" s="106"/>
      <c r="D57" s="104"/>
      <c r="E57" s="106"/>
      <c r="F57" s="104"/>
      <c r="G57" s="106"/>
      <c r="H57" s="104"/>
      <c r="I57" s="102"/>
      <c r="J57" s="103"/>
      <c r="K57" s="104"/>
      <c r="O57" s="18"/>
      <c r="P57" s="19"/>
    </row>
    <row r="58" spans="1:16" ht="16.8" x14ac:dyDescent="0.4">
      <c r="A58" s="106"/>
      <c r="B58" s="104"/>
      <c r="C58" s="106"/>
      <c r="D58" s="104"/>
      <c r="E58" s="106"/>
      <c r="F58" s="104"/>
      <c r="G58" s="106"/>
      <c r="H58" s="104"/>
      <c r="I58" s="102"/>
      <c r="J58" s="103"/>
      <c r="K58" s="104"/>
      <c r="O58" s="18"/>
      <c r="P58" s="19"/>
    </row>
    <row r="59" spans="1:16" ht="16.8" x14ac:dyDescent="0.4">
      <c r="A59" s="106"/>
      <c r="B59" s="104"/>
      <c r="C59" s="106"/>
      <c r="D59" s="104"/>
      <c r="E59" s="106"/>
      <c r="F59" s="104"/>
      <c r="G59" s="106"/>
      <c r="H59" s="104"/>
      <c r="I59" s="102"/>
      <c r="J59" s="103"/>
      <c r="K59" s="104"/>
      <c r="O59" s="18"/>
      <c r="P59" s="19"/>
    </row>
    <row r="60" spans="1:16" ht="16.8" x14ac:dyDescent="0.4">
      <c r="A60" s="106"/>
      <c r="B60" s="104"/>
      <c r="C60" s="106"/>
      <c r="D60" s="104"/>
      <c r="E60" s="106"/>
      <c r="F60" s="104"/>
      <c r="G60" s="106"/>
      <c r="H60" s="104"/>
      <c r="I60" s="102"/>
      <c r="J60" s="103"/>
      <c r="K60" s="104"/>
      <c r="O60" s="18"/>
      <c r="P60" s="19"/>
    </row>
    <row r="61" spans="1:16" ht="16.8" x14ac:dyDescent="0.4">
      <c r="A61" s="106"/>
      <c r="B61" s="104"/>
      <c r="C61" s="106"/>
      <c r="D61" s="104"/>
      <c r="E61" s="106"/>
      <c r="F61" s="104"/>
      <c r="G61" s="106"/>
      <c r="H61" s="104"/>
      <c r="I61" s="102"/>
      <c r="J61" s="103"/>
      <c r="K61" s="104"/>
      <c r="O61" s="18"/>
      <c r="P61" s="19"/>
    </row>
    <row r="62" spans="1:16" ht="16.8" x14ac:dyDescent="0.4">
      <c r="A62" s="106"/>
      <c r="B62" s="104"/>
      <c r="C62" s="106"/>
      <c r="D62" s="104"/>
      <c r="E62" s="106"/>
      <c r="F62" s="104"/>
      <c r="G62" s="106"/>
      <c r="H62" s="104"/>
      <c r="I62" s="102"/>
      <c r="J62" s="103"/>
      <c r="K62" s="104"/>
      <c r="O62" s="18"/>
      <c r="P62" s="19"/>
    </row>
    <row r="63" spans="1:16" ht="16.8" x14ac:dyDescent="0.4">
      <c r="A63" s="106"/>
      <c r="B63" s="104"/>
      <c r="C63" s="106"/>
      <c r="D63" s="104"/>
      <c r="E63" s="106"/>
      <c r="F63" s="104"/>
      <c r="G63" s="106"/>
      <c r="H63" s="104"/>
      <c r="I63" s="102"/>
      <c r="J63" s="103"/>
      <c r="K63" s="104"/>
      <c r="O63" s="18"/>
      <c r="P63" s="19"/>
    </row>
    <row r="64" spans="1:16" ht="16.8" x14ac:dyDescent="0.4">
      <c r="A64" s="106"/>
      <c r="B64" s="104"/>
      <c r="C64" s="106"/>
      <c r="D64" s="104"/>
      <c r="E64" s="106"/>
      <c r="F64" s="104"/>
      <c r="G64" s="106"/>
      <c r="H64" s="104"/>
      <c r="I64" s="102"/>
      <c r="J64" s="103"/>
      <c r="K64" s="104"/>
      <c r="O64" s="18"/>
      <c r="P64" s="19"/>
    </row>
    <row r="65" spans="1:16" ht="16.8" x14ac:dyDescent="0.4">
      <c r="A65" s="106"/>
      <c r="B65" s="104"/>
      <c r="C65" s="106"/>
      <c r="D65" s="104"/>
      <c r="E65" s="106"/>
      <c r="F65" s="104"/>
      <c r="G65" s="106"/>
      <c r="H65" s="104"/>
      <c r="I65" s="102"/>
      <c r="J65" s="103"/>
      <c r="K65" s="104"/>
      <c r="O65" s="18"/>
      <c r="P65" s="19"/>
    </row>
    <row r="66" spans="1:16" ht="16.8" x14ac:dyDescent="0.4">
      <c r="A66" s="106"/>
      <c r="B66" s="104"/>
      <c r="C66" s="106"/>
      <c r="D66" s="104"/>
      <c r="E66" s="106"/>
      <c r="F66" s="104"/>
      <c r="G66" s="106"/>
      <c r="H66" s="104"/>
      <c r="I66" s="102"/>
      <c r="J66" s="103"/>
      <c r="K66" s="104"/>
      <c r="O66" s="18"/>
      <c r="P66" s="19"/>
    </row>
    <row r="67" spans="1:16" ht="16.8" x14ac:dyDescent="0.4">
      <c r="A67" s="106"/>
      <c r="B67" s="104"/>
      <c r="C67" s="106"/>
      <c r="D67" s="104"/>
      <c r="E67" s="106"/>
      <c r="F67" s="104"/>
      <c r="G67" s="106"/>
      <c r="H67" s="104"/>
      <c r="I67" s="102"/>
      <c r="J67" s="103"/>
      <c r="K67" s="104"/>
      <c r="O67" s="18"/>
      <c r="P67" s="19"/>
    </row>
    <row r="68" spans="1:16" ht="16.8" x14ac:dyDescent="0.4">
      <c r="A68" s="106"/>
      <c r="B68" s="104"/>
      <c r="C68" s="106"/>
      <c r="D68" s="104"/>
      <c r="E68" s="106"/>
      <c r="F68" s="104"/>
      <c r="G68" s="106"/>
      <c r="H68" s="104"/>
      <c r="I68" s="102"/>
      <c r="J68" s="103"/>
      <c r="K68" s="104"/>
    </row>
    <row r="69" spans="1:16" ht="16.8" x14ac:dyDescent="0.4">
      <c r="A69" s="106"/>
      <c r="B69" s="104"/>
      <c r="C69" s="106"/>
      <c r="D69" s="104"/>
      <c r="E69" s="106"/>
      <c r="F69" s="104"/>
      <c r="G69" s="106"/>
      <c r="H69" s="104"/>
      <c r="I69" s="102"/>
      <c r="J69" s="103"/>
      <c r="K69" s="104"/>
    </row>
    <row r="70" spans="1:16" ht="16.8" x14ac:dyDescent="0.4">
      <c r="A70" s="106"/>
      <c r="B70" s="104"/>
      <c r="C70" s="106"/>
      <c r="D70" s="104"/>
      <c r="E70" s="106"/>
      <c r="F70" s="104"/>
      <c r="G70" s="106"/>
      <c r="H70" s="104"/>
      <c r="I70" s="102"/>
      <c r="J70" s="103"/>
      <c r="K70" s="104"/>
    </row>
    <row r="71" spans="1:16" ht="16.8" x14ac:dyDescent="0.4">
      <c r="A71" s="106"/>
      <c r="B71" s="104"/>
      <c r="C71" s="106"/>
      <c r="D71" s="104"/>
      <c r="E71" s="106"/>
      <c r="F71" s="104"/>
      <c r="G71" s="106"/>
      <c r="H71" s="104"/>
      <c r="I71" s="102"/>
      <c r="J71" s="103"/>
      <c r="K71" s="104"/>
    </row>
    <row r="72" spans="1:16" ht="16.8" x14ac:dyDescent="0.4">
      <c r="A72" s="106"/>
      <c r="B72" s="104"/>
      <c r="C72" s="106"/>
      <c r="D72" s="104"/>
      <c r="E72" s="106"/>
      <c r="F72" s="104"/>
      <c r="G72" s="106"/>
      <c r="H72" s="104"/>
      <c r="I72" s="102"/>
      <c r="J72" s="103"/>
      <c r="K72" s="104"/>
    </row>
    <row r="73" spans="1:16" ht="16.8" x14ac:dyDescent="0.4">
      <c r="A73" s="106"/>
      <c r="B73" s="104"/>
      <c r="C73" s="106"/>
      <c r="D73" s="104"/>
      <c r="E73" s="106"/>
      <c r="F73" s="104"/>
      <c r="G73" s="106"/>
      <c r="H73" s="104"/>
      <c r="I73" s="102"/>
      <c r="J73" s="103"/>
      <c r="K73" s="104"/>
    </row>
    <row r="74" spans="1:16" ht="16.8" x14ac:dyDescent="0.4">
      <c r="A74" s="106"/>
      <c r="B74" s="104"/>
      <c r="C74" s="106"/>
      <c r="D74" s="104"/>
      <c r="E74" s="106"/>
      <c r="F74" s="104"/>
      <c r="G74" s="106"/>
      <c r="H74" s="104"/>
      <c r="I74" s="102"/>
      <c r="J74" s="103"/>
      <c r="K74" s="104"/>
    </row>
    <row r="75" spans="1:16" ht="16.8" x14ac:dyDescent="0.4">
      <c r="A75" s="106"/>
      <c r="B75" s="104"/>
      <c r="C75" s="106"/>
      <c r="D75" s="104"/>
      <c r="E75" s="106"/>
      <c r="F75" s="104"/>
      <c r="G75" s="106"/>
      <c r="H75" s="104"/>
      <c r="I75" s="102"/>
      <c r="J75" s="103"/>
      <c r="K75" s="104"/>
    </row>
    <row r="76" spans="1:16" ht="16.8" x14ac:dyDescent="0.4">
      <c r="A76" s="106"/>
      <c r="B76" s="104"/>
      <c r="C76" s="106"/>
      <c r="D76" s="104"/>
      <c r="E76" s="106"/>
      <c r="F76" s="104"/>
      <c r="G76" s="106"/>
      <c r="H76" s="104"/>
      <c r="I76" s="102"/>
      <c r="J76" s="103"/>
      <c r="K76" s="104"/>
    </row>
    <row r="77" spans="1:16" ht="16.8" x14ac:dyDescent="0.4">
      <c r="A77" s="106"/>
      <c r="B77" s="104"/>
      <c r="C77" s="106"/>
      <c r="D77" s="104"/>
      <c r="E77" s="106"/>
      <c r="F77" s="104"/>
      <c r="G77" s="106"/>
      <c r="H77" s="104"/>
      <c r="I77" s="102"/>
      <c r="J77" s="103"/>
      <c r="K77" s="104"/>
    </row>
    <row r="78" spans="1:16" ht="16.8" x14ac:dyDescent="0.4">
      <c r="A78" s="106"/>
      <c r="B78" s="104"/>
      <c r="C78" s="106"/>
      <c r="D78" s="104"/>
      <c r="E78" s="106"/>
      <c r="F78" s="104"/>
      <c r="G78" s="106"/>
      <c r="H78" s="104"/>
      <c r="I78" s="102"/>
      <c r="J78" s="103"/>
      <c r="K78" s="104"/>
    </row>
    <row r="79" spans="1:16" ht="16.8" x14ac:dyDescent="0.4">
      <c r="A79" s="106"/>
      <c r="B79" s="104"/>
      <c r="C79" s="106"/>
      <c r="D79" s="104"/>
      <c r="E79" s="106"/>
      <c r="F79" s="104"/>
      <c r="G79" s="106"/>
      <c r="H79" s="104"/>
      <c r="I79" s="102"/>
      <c r="J79" s="103"/>
      <c r="K79" s="104"/>
    </row>
    <row r="80" spans="1:16" ht="16.8" x14ac:dyDescent="0.4">
      <c r="A80" s="106"/>
      <c r="B80" s="104"/>
      <c r="C80" s="106"/>
      <c r="D80" s="104"/>
      <c r="E80" s="106"/>
      <c r="F80" s="104"/>
      <c r="G80" s="106"/>
      <c r="H80" s="104"/>
      <c r="I80" s="102"/>
      <c r="J80" s="103"/>
      <c r="K80" s="104"/>
    </row>
    <row r="81" spans="1:11" ht="16.8" x14ac:dyDescent="0.4">
      <c r="A81" s="106"/>
      <c r="B81" s="104"/>
      <c r="C81" s="106"/>
      <c r="D81" s="104"/>
      <c r="E81" s="106"/>
      <c r="F81" s="104"/>
      <c r="G81" s="106"/>
      <c r="H81" s="104"/>
      <c r="I81" s="102"/>
      <c r="J81" s="103"/>
      <c r="K81" s="104"/>
    </row>
    <row r="82" spans="1:11" ht="16.8" x14ac:dyDescent="0.4">
      <c r="A82" s="106"/>
      <c r="B82" s="104"/>
      <c r="C82" s="106"/>
      <c r="D82" s="104"/>
      <c r="E82" s="106"/>
      <c r="F82" s="104"/>
      <c r="G82" s="106"/>
      <c r="H82" s="104"/>
      <c r="I82" s="102"/>
      <c r="J82" s="103"/>
      <c r="K82" s="104"/>
    </row>
    <row r="83" spans="1:11" ht="16.8" x14ac:dyDescent="0.4">
      <c r="A83" s="106"/>
      <c r="B83" s="104"/>
      <c r="C83" s="106"/>
      <c r="D83" s="104"/>
      <c r="E83" s="106"/>
      <c r="F83" s="104"/>
      <c r="G83" s="106"/>
      <c r="H83" s="104"/>
      <c r="I83" s="102"/>
      <c r="J83" s="103"/>
      <c r="K83" s="104"/>
    </row>
    <row r="84" spans="1:11" ht="16.8" x14ac:dyDescent="0.4">
      <c r="A84" s="106"/>
      <c r="B84" s="104"/>
      <c r="C84" s="106"/>
      <c r="D84" s="104"/>
      <c r="E84" s="106"/>
      <c r="F84" s="104"/>
      <c r="G84" s="106"/>
      <c r="H84" s="104"/>
      <c r="I84" s="102"/>
      <c r="J84" s="103"/>
      <c r="K84" s="104"/>
    </row>
    <row r="85" spans="1:11" ht="16.8" x14ac:dyDescent="0.4">
      <c r="A85" s="106"/>
      <c r="B85" s="104"/>
      <c r="C85" s="106"/>
      <c r="D85" s="104"/>
      <c r="E85" s="106"/>
      <c r="F85" s="104"/>
      <c r="G85" s="106"/>
      <c r="H85" s="104"/>
      <c r="I85" s="102"/>
      <c r="J85" s="103"/>
      <c r="K85" s="104"/>
    </row>
    <row r="86" spans="1:11" ht="16.8" x14ac:dyDescent="0.4">
      <c r="A86" s="106"/>
      <c r="B86" s="104"/>
      <c r="C86" s="106"/>
      <c r="D86" s="104"/>
      <c r="E86" s="106"/>
      <c r="F86" s="104"/>
      <c r="G86" s="106"/>
      <c r="H86" s="104"/>
      <c r="I86" s="102"/>
      <c r="J86" s="103"/>
      <c r="K86" s="104"/>
    </row>
    <row r="87" spans="1:11" ht="16.8" x14ac:dyDescent="0.4">
      <c r="A87" s="106"/>
      <c r="B87" s="104"/>
      <c r="C87" s="106"/>
      <c r="D87" s="104"/>
      <c r="E87" s="106"/>
      <c r="F87" s="104"/>
      <c r="G87" s="106"/>
      <c r="H87" s="104"/>
      <c r="I87" s="102"/>
      <c r="J87" s="103"/>
      <c r="K87" s="104"/>
    </row>
    <row r="88" spans="1:11" ht="16.8" x14ac:dyDescent="0.4">
      <c r="A88" s="106"/>
      <c r="B88" s="104"/>
      <c r="C88" s="106"/>
      <c r="D88" s="104"/>
      <c r="E88" s="106"/>
      <c r="F88" s="104"/>
      <c r="G88" s="106"/>
      <c r="H88" s="104"/>
      <c r="I88" s="102"/>
      <c r="J88" s="103"/>
      <c r="K88" s="104"/>
    </row>
    <row r="89" spans="1:11" ht="16.8" x14ac:dyDescent="0.4">
      <c r="A89" s="106"/>
      <c r="B89" s="104"/>
      <c r="C89" s="106"/>
      <c r="D89" s="104"/>
      <c r="E89" s="106"/>
      <c r="F89" s="104"/>
      <c r="G89" s="106"/>
      <c r="H89" s="104"/>
      <c r="I89" s="102"/>
      <c r="J89" s="103"/>
      <c r="K89" s="104"/>
    </row>
    <row r="90" spans="1:11" ht="16.8" x14ac:dyDescent="0.4">
      <c r="A90" s="106"/>
      <c r="B90" s="104"/>
      <c r="C90" s="106"/>
      <c r="D90" s="104"/>
      <c r="E90" s="106"/>
      <c r="F90" s="104"/>
      <c r="G90" s="106"/>
      <c r="H90" s="104"/>
      <c r="I90" s="102"/>
      <c r="J90" s="103"/>
      <c r="K90" s="104"/>
    </row>
    <row r="91" spans="1:11" ht="16.8" x14ac:dyDescent="0.4">
      <c r="A91" s="106"/>
      <c r="B91" s="104"/>
      <c r="C91" s="106"/>
      <c r="D91" s="104"/>
      <c r="E91" s="106"/>
      <c r="F91" s="104"/>
      <c r="G91" s="106"/>
      <c r="H91" s="104"/>
      <c r="I91" s="102"/>
      <c r="J91" s="103"/>
      <c r="K91" s="104"/>
    </row>
    <row r="92" spans="1:11" ht="16.8" x14ac:dyDescent="0.4">
      <c r="A92" s="106"/>
      <c r="B92" s="104"/>
      <c r="C92" s="106"/>
      <c r="D92" s="104"/>
      <c r="E92" s="106"/>
      <c r="F92" s="104"/>
      <c r="G92" s="106"/>
      <c r="H92" s="104"/>
      <c r="I92" s="102"/>
      <c r="J92" s="103"/>
      <c r="K92" s="104"/>
    </row>
    <row r="93" spans="1:11" ht="16.8" x14ac:dyDescent="0.4">
      <c r="A93" s="106"/>
      <c r="B93" s="104"/>
      <c r="C93" s="106"/>
      <c r="D93" s="104"/>
      <c r="E93" s="106"/>
      <c r="F93" s="104"/>
      <c r="G93" s="106"/>
      <c r="H93" s="104"/>
      <c r="I93" s="102"/>
      <c r="J93" s="103"/>
      <c r="K93" s="104"/>
    </row>
    <row r="94" spans="1:11" ht="16.8" x14ac:dyDescent="0.4">
      <c r="A94" s="106"/>
      <c r="B94" s="104"/>
      <c r="C94" s="106"/>
      <c r="D94" s="104"/>
      <c r="E94" s="106"/>
      <c r="F94" s="104"/>
      <c r="G94" s="106"/>
      <c r="H94" s="104"/>
      <c r="I94" s="102"/>
      <c r="J94" s="103"/>
      <c r="K94" s="104"/>
    </row>
    <row r="95" spans="1:11" ht="16.8" x14ac:dyDescent="0.4">
      <c r="A95" s="106"/>
      <c r="B95" s="104"/>
      <c r="C95" s="106"/>
      <c r="D95" s="104"/>
      <c r="E95" s="106"/>
      <c r="F95" s="104"/>
      <c r="G95" s="106"/>
      <c r="H95" s="104"/>
      <c r="I95" s="102"/>
      <c r="J95" s="103"/>
      <c r="K95" s="104"/>
    </row>
    <row r="96" spans="1:11" ht="16.8" x14ac:dyDescent="0.4">
      <c r="A96" s="106"/>
      <c r="B96" s="104"/>
      <c r="C96" s="106"/>
      <c r="D96" s="104"/>
      <c r="E96" s="106"/>
      <c r="F96" s="104"/>
      <c r="G96" s="106"/>
      <c r="H96" s="104"/>
      <c r="I96" s="102"/>
      <c r="J96" s="103"/>
      <c r="K96" s="104"/>
    </row>
    <row r="97" spans="1:11" ht="16.8" x14ac:dyDescent="0.4">
      <c r="A97" s="106"/>
      <c r="B97" s="104"/>
      <c r="C97" s="106"/>
      <c r="D97" s="104"/>
      <c r="E97" s="106"/>
      <c r="F97" s="104"/>
      <c r="G97" s="106"/>
      <c r="H97" s="104"/>
      <c r="I97" s="102"/>
      <c r="J97" s="103"/>
      <c r="K97" s="104"/>
    </row>
    <row r="98" spans="1:11" ht="16.8" x14ac:dyDescent="0.4">
      <c r="A98" s="106"/>
      <c r="B98" s="104"/>
      <c r="C98" s="106"/>
      <c r="D98" s="104"/>
      <c r="E98" s="106"/>
      <c r="F98" s="104"/>
      <c r="G98" s="106"/>
      <c r="H98" s="104"/>
      <c r="I98" s="102"/>
      <c r="J98" s="103"/>
      <c r="K98" s="104"/>
    </row>
    <row r="99" spans="1:11" ht="16.8" x14ac:dyDescent="0.4">
      <c r="A99" s="106"/>
      <c r="B99" s="104"/>
      <c r="C99" s="106"/>
      <c r="D99" s="104"/>
      <c r="E99" s="106"/>
      <c r="F99" s="104"/>
      <c r="G99" s="106"/>
      <c r="H99" s="104"/>
      <c r="I99" s="102"/>
      <c r="J99" s="103"/>
      <c r="K99" s="104"/>
    </row>
    <row r="100" spans="1:11" ht="16.8" x14ac:dyDescent="0.4">
      <c r="A100" s="106"/>
      <c r="B100" s="104"/>
      <c r="C100" s="106"/>
      <c r="D100" s="104"/>
      <c r="E100" s="106"/>
      <c r="F100" s="104"/>
      <c r="G100" s="106"/>
      <c r="H100" s="104"/>
      <c r="I100" s="102"/>
      <c r="J100" s="103"/>
      <c r="K100" s="104"/>
    </row>
    <row r="101" spans="1:11" ht="16.8" x14ac:dyDescent="0.4">
      <c r="A101" s="106"/>
      <c r="B101" s="104"/>
      <c r="C101" s="106"/>
      <c r="D101" s="104"/>
      <c r="E101" s="106"/>
      <c r="F101" s="104"/>
      <c r="G101" s="106"/>
      <c r="H101" s="104"/>
      <c r="I101" s="102"/>
      <c r="J101" s="103"/>
      <c r="K101" s="104"/>
    </row>
    <row r="102" spans="1:11" ht="16.8" x14ac:dyDescent="0.4">
      <c r="A102" s="106"/>
      <c r="B102" s="104"/>
      <c r="C102" s="106"/>
      <c r="D102" s="104"/>
      <c r="E102" s="106"/>
      <c r="F102" s="104"/>
      <c r="G102" s="106"/>
      <c r="H102" s="104"/>
      <c r="I102" s="102"/>
      <c r="J102" s="103"/>
      <c r="K102" s="104"/>
    </row>
    <row r="103" spans="1:11" ht="16.8" x14ac:dyDescent="0.4">
      <c r="A103" s="106"/>
      <c r="B103" s="104"/>
      <c r="C103" s="106"/>
      <c r="D103" s="104"/>
      <c r="E103" s="106"/>
      <c r="F103" s="104"/>
      <c r="G103" s="106"/>
      <c r="H103" s="104"/>
      <c r="I103" s="102"/>
      <c r="J103" s="103"/>
      <c r="K103" s="104"/>
    </row>
    <row r="104" spans="1:11" ht="16.8" x14ac:dyDescent="0.4">
      <c r="A104" s="106"/>
      <c r="B104" s="104"/>
      <c r="C104" s="106"/>
      <c r="D104" s="104"/>
      <c r="E104" s="106"/>
      <c r="F104" s="104"/>
      <c r="G104" s="106"/>
      <c r="H104" s="104"/>
      <c r="I104" s="102"/>
      <c r="J104" s="103"/>
      <c r="K104" s="104"/>
    </row>
    <row r="105" spans="1:11" ht="16.8" x14ac:dyDescent="0.4">
      <c r="A105" s="106"/>
      <c r="B105" s="104"/>
      <c r="C105" s="106"/>
      <c r="D105" s="104"/>
      <c r="E105" s="106"/>
      <c r="F105" s="104"/>
      <c r="G105" s="106"/>
      <c r="H105" s="104"/>
      <c r="I105" s="102"/>
      <c r="J105" s="103"/>
      <c r="K105" s="104"/>
    </row>
    <row r="106" spans="1:11" ht="16.8" x14ac:dyDescent="0.4">
      <c r="A106" s="106"/>
      <c r="B106" s="104"/>
      <c r="C106" s="106"/>
      <c r="D106" s="104"/>
      <c r="E106" s="106"/>
      <c r="F106" s="104"/>
      <c r="G106" s="106"/>
      <c r="H106" s="104"/>
      <c r="I106" s="102"/>
      <c r="J106" s="103"/>
      <c r="K106" s="104"/>
    </row>
    <row r="107" spans="1:11" ht="16.8" x14ac:dyDescent="0.4">
      <c r="A107" s="106"/>
      <c r="B107" s="104"/>
      <c r="C107" s="106"/>
      <c r="D107" s="104"/>
      <c r="E107" s="106"/>
      <c r="F107" s="104"/>
      <c r="G107" s="106"/>
      <c r="H107" s="104"/>
      <c r="I107" s="102"/>
      <c r="J107" s="103"/>
      <c r="K107" s="104"/>
    </row>
    <row r="108" spans="1:11" ht="16.8" x14ac:dyDescent="0.4">
      <c r="A108" s="106"/>
      <c r="B108" s="104"/>
      <c r="C108" s="106"/>
      <c r="D108" s="104"/>
      <c r="E108" s="106"/>
      <c r="F108" s="104"/>
      <c r="G108" s="106"/>
      <c r="H108" s="104"/>
      <c r="I108" s="102"/>
      <c r="J108" s="103"/>
      <c r="K108" s="104"/>
    </row>
    <row r="109" spans="1:11" ht="16.8" x14ac:dyDescent="0.4">
      <c r="A109" s="106"/>
      <c r="B109" s="104"/>
      <c r="C109" s="106"/>
      <c r="D109" s="104"/>
      <c r="E109" s="106"/>
      <c r="F109" s="104"/>
      <c r="G109" s="106"/>
      <c r="H109" s="104"/>
      <c r="I109" s="102"/>
      <c r="J109" s="103"/>
      <c r="K109" s="104"/>
    </row>
    <row r="110" spans="1:11" ht="16.8" x14ac:dyDescent="0.4">
      <c r="A110" s="106"/>
      <c r="B110" s="104"/>
      <c r="C110" s="106"/>
      <c r="D110" s="104"/>
      <c r="E110" s="106"/>
      <c r="F110" s="104"/>
      <c r="G110" s="106"/>
      <c r="H110" s="104"/>
      <c r="I110" s="102"/>
      <c r="J110" s="103"/>
      <c r="K110" s="104"/>
    </row>
    <row r="111" spans="1:11" ht="16.8" x14ac:dyDescent="0.4">
      <c r="A111" s="106"/>
      <c r="B111" s="104"/>
      <c r="C111" s="106"/>
      <c r="D111" s="104"/>
      <c r="E111" s="106"/>
      <c r="F111" s="104"/>
      <c r="G111" s="106"/>
      <c r="H111" s="104"/>
      <c r="I111" s="102"/>
      <c r="J111" s="103"/>
      <c r="K111" s="104"/>
    </row>
    <row r="112" spans="1:11" ht="16.8" x14ac:dyDescent="0.4">
      <c r="A112" s="106"/>
      <c r="B112" s="104"/>
      <c r="C112" s="106"/>
      <c r="D112" s="104"/>
      <c r="E112" s="106"/>
      <c r="F112" s="104"/>
      <c r="G112" s="106"/>
      <c r="H112" s="104"/>
      <c r="I112" s="102"/>
      <c r="J112" s="103"/>
      <c r="K112" s="104"/>
    </row>
    <row r="113" spans="1:11" ht="16.8" x14ac:dyDescent="0.4">
      <c r="A113" s="106"/>
      <c r="B113" s="104"/>
      <c r="C113" s="106"/>
      <c r="D113" s="104"/>
      <c r="E113" s="106"/>
      <c r="F113" s="104"/>
      <c r="G113" s="106"/>
      <c r="H113" s="104"/>
      <c r="I113" s="102"/>
      <c r="J113" s="103"/>
      <c r="K113" s="104"/>
    </row>
    <row r="114" spans="1:11" ht="16.8" x14ac:dyDescent="0.4">
      <c r="A114" s="106"/>
      <c r="B114" s="104"/>
      <c r="C114" s="106"/>
      <c r="D114" s="104"/>
      <c r="E114" s="106"/>
      <c r="F114" s="104"/>
      <c r="G114" s="106"/>
      <c r="H114" s="104"/>
      <c r="I114" s="102"/>
      <c r="J114" s="103"/>
      <c r="K114" s="104"/>
    </row>
    <row r="115" spans="1:11" ht="16.8" x14ac:dyDescent="0.4">
      <c r="A115" s="106"/>
      <c r="B115" s="104"/>
      <c r="C115" s="106"/>
      <c r="D115" s="104"/>
      <c r="E115" s="106"/>
      <c r="F115" s="104"/>
      <c r="G115" s="106"/>
      <c r="H115" s="104"/>
      <c r="I115" s="102"/>
      <c r="J115" s="103"/>
      <c r="K115" s="104"/>
    </row>
    <row r="116" spans="1:11" ht="16.8" x14ac:dyDescent="0.4">
      <c r="A116" s="106"/>
      <c r="B116" s="104"/>
      <c r="C116" s="106"/>
      <c r="D116" s="104"/>
      <c r="E116" s="106"/>
      <c r="F116" s="104"/>
      <c r="G116" s="106"/>
      <c r="H116" s="104"/>
      <c r="I116" s="102"/>
      <c r="J116" s="103"/>
      <c r="K116" s="104"/>
    </row>
    <row r="117" spans="1:11" ht="16.8" x14ac:dyDescent="0.4">
      <c r="A117" s="106"/>
      <c r="B117" s="104"/>
      <c r="C117" s="106"/>
      <c r="D117" s="104"/>
      <c r="E117" s="106"/>
      <c r="F117" s="104"/>
      <c r="G117" s="106"/>
      <c r="H117" s="104"/>
      <c r="I117" s="102"/>
      <c r="J117" s="103"/>
      <c r="K117" s="104"/>
    </row>
    <row r="118" spans="1:11" ht="16.8" x14ac:dyDescent="0.4">
      <c r="A118" s="106"/>
      <c r="B118" s="104"/>
      <c r="C118" s="106"/>
      <c r="D118" s="104"/>
      <c r="E118" s="106"/>
      <c r="F118" s="104"/>
      <c r="G118" s="106"/>
      <c r="H118" s="104"/>
      <c r="I118" s="102"/>
      <c r="J118" s="103"/>
      <c r="K118" s="104"/>
    </row>
    <row r="119" spans="1:11" ht="16.8" x14ac:dyDescent="0.4">
      <c r="A119" s="106"/>
      <c r="B119" s="104"/>
      <c r="C119" s="106"/>
      <c r="D119" s="104"/>
      <c r="E119" s="106"/>
      <c r="F119" s="104"/>
      <c r="G119" s="106"/>
      <c r="H119" s="104"/>
      <c r="I119" s="102"/>
      <c r="J119" s="103"/>
      <c r="K119" s="104"/>
    </row>
    <row r="120" spans="1:11" ht="16.8" x14ac:dyDescent="0.4">
      <c r="A120" s="106"/>
      <c r="B120" s="104"/>
      <c r="C120" s="106"/>
      <c r="D120" s="104"/>
      <c r="E120" s="106"/>
      <c r="F120" s="104"/>
      <c r="G120" s="106"/>
      <c r="H120" s="104"/>
      <c r="I120" s="102"/>
      <c r="J120" s="103"/>
      <c r="K120" s="104"/>
    </row>
    <row r="121" spans="1:11" ht="16.8" x14ac:dyDescent="0.4">
      <c r="A121" s="106"/>
      <c r="B121" s="104"/>
      <c r="C121" s="106"/>
      <c r="D121" s="104"/>
      <c r="E121" s="106"/>
      <c r="F121" s="104"/>
      <c r="G121" s="106"/>
      <c r="H121" s="104"/>
      <c r="I121" s="102"/>
      <c r="J121" s="103"/>
      <c r="K121" s="104"/>
    </row>
    <row r="122" spans="1:11" ht="16.8" x14ac:dyDescent="0.4">
      <c r="A122" s="106"/>
      <c r="B122" s="104"/>
      <c r="C122" s="106"/>
      <c r="D122" s="104"/>
      <c r="E122" s="106"/>
      <c r="F122" s="104"/>
      <c r="G122" s="106"/>
      <c r="H122" s="104"/>
      <c r="I122" s="102"/>
      <c r="J122" s="103"/>
      <c r="K122" s="104"/>
    </row>
    <row r="123" spans="1:11" ht="16.8" x14ac:dyDescent="0.4">
      <c r="A123" s="106"/>
      <c r="B123" s="104"/>
      <c r="C123" s="106"/>
      <c r="D123" s="104"/>
      <c r="E123" s="106"/>
      <c r="F123" s="104"/>
      <c r="G123" s="106"/>
      <c r="H123" s="104"/>
      <c r="I123" s="102"/>
      <c r="J123" s="103"/>
      <c r="K123" s="104"/>
    </row>
    <row r="124" spans="1:11" ht="16.8" x14ac:dyDescent="0.4">
      <c r="A124" s="106"/>
      <c r="B124" s="104"/>
      <c r="C124" s="106"/>
      <c r="D124" s="104"/>
      <c r="E124" s="106"/>
      <c r="F124" s="104"/>
      <c r="G124" s="106"/>
      <c r="H124" s="104"/>
      <c r="I124" s="102"/>
      <c r="J124" s="103"/>
      <c r="K124" s="104"/>
    </row>
    <row r="125" spans="1:11" ht="16.8" x14ac:dyDescent="0.4">
      <c r="A125" s="106"/>
      <c r="B125" s="104"/>
      <c r="C125" s="106"/>
      <c r="D125" s="104"/>
      <c r="E125" s="106"/>
      <c r="F125" s="104"/>
      <c r="G125" s="106"/>
      <c r="H125" s="104"/>
      <c r="I125" s="102"/>
      <c r="J125" s="103"/>
      <c r="K125" s="104"/>
    </row>
    <row r="126" spans="1:11" ht="16.8" x14ac:dyDescent="0.4">
      <c r="A126" s="106"/>
      <c r="B126" s="104"/>
      <c r="C126" s="106"/>
      <c r="D126" s="104"/>
      <c r="E126" s="106"/>
      <c r="F126" s="104"/>
      <c r="G126" s="106"/>
      <c r="H126" s="104"/>
      <c r="I126" s="102"/>
      <c r="J126" s="103"/>
      <c r="K126" s="104"/>
    </row>
    <row r="127" spans="1:11" ht="16.8" x14ac:dyDescent="0.4">
      <c r="A127" s="106"/>
      <c r="B127" s="104"/>
      <c r="C127" s="106"/>
      <c r="D127" s="104"/>
      <c r="E127" s="106"/>
      <c r="F127" s="104"/>
      <c r="G127" s="106"/>
      <c r="H127" s="104"/>
      <c r="I127" s="102"/>
      <c r="J127" s="103"/>
      <c r="K127" s="104"/>
    </row>
    <row r="128" spans="1:11" ht="16.8" x14ac:dyDescent="0.4">
      <c r="A128" s="106"/>
      <c r="B128" s="104"/>
      <c r="C128" s="106"/>
      <c r="D128" s="104"/>
      <c r="E128" s="106"/>
      <c r="F128" s="104"/>
      <c r="G128" s="106"/>
      <c r="H128" s="104"/>
      <c r="I128" s="102"/>
      <c r="J128" s="103"/>
      <c r="K128" s="104"/>
    </row>
    <row r="129" spans="1:11" ht="16.8" x14ac:dyDescent="0.4">
      <c r="A129" s="106"/>
      <c r="B129" s="104"/>
      <c r="C129" s="106"/>
      <c r="D129" s="104"/>
      <c r="E129" s="106"/>
      <c r="F129" s="104"/>
      <c r="G129" s="106"/>
      <c r="H129" s="104"/>
      <c r="I129" s="102"/>
      <c r="J129" s="103"/>
      <c r="K129" s="104"/>
    </row>
    <row r="130" spans="1:11" ht="16.8" x14ac:dyDescent="0.4">
      <c r="A130" s="106"/>
      <c r="B130" s="104"/>
      <c r="C130" s="106"/>
      <c r="D130" s="104"/>
      <c r="E130" s="106"/>
      <c r="F130" s="104"/>
      <c r="G130" s="106"/>
      <c r="H130" s="104"/>
      <c r="I130" s="102"/>
      <c r="J130" s="103"/>
      <c r="K130" s="104"/>
    </row>
    <row r="131" spans="1:11" ht="16.8" x14ac:dyDescent="0.4">
      <c r="A131" s="106"/>
      <c r="B131" s="104"/>
      <c r="C131" s="106"/>
      <c r="D131" s="104"/>
      <c r="E131" s="106"/>
      <c r="F131" s="104"/>
      <c r="G131" s="106"/>
      <c r="H131" s="104"/>
      <c r="I131" s="102"/>
      <c r="J131" s="103"/>
      <c r="K131" s="104"/>
    </row>
    <row r="132" spans="1:11" ht="16.8" x14ac:dyDescent="0.4">
      <c r="A132" s="106"/>
      <c r="B132" s="104"/>
      <c r="C132" s="106"/>
      <c r="D132" s="104"/>
      <c r="E132" s="106"/>
      <c r="F132" s="104"/>
      <c r="G132" s="106"/>
      <c r="H132" s="104"/>
      <c r="I132" s="102"/>
      <c r="J132" s="103"/>
      <c r="K132" s="104"/>
    </row>
    <row r="133" spans="1:11" ht="16.8" x14ac:dyDescent="0.4">
      <c r="A133" s="106"/>
      <c r="B133" s="104"/>
      <c r="C133" s="106"/>
      <c r="D133" s="104"/>
      <c r="E133" s="106"/>
      <c r="F133" s="104"/>
      <c r="G133" s="106"/>
      <c r="H133" s="104"/>
      <c r="I133" s="102"/>
      <c r="J133" s="103"/>
      <c r="K133" s="104"/>
    </row>
    <row r="134" spans="1:11" ht="16.8" x14ac:dyDescent="0.4">
      <c r="A134" s="106"/>
      <c r="B134" s="104"/>
      <c r="C134" s="106"/>
      <c r="D134" s="104"/>
      <c r="E134" s="106"/>
      <c r="F134" s="104"/>
      <c r="G134" s="106"/>
      <c r="H134" s="104"/>
      <c r="I134" s="102"/>
      <c r="J134" s="103"/>
      <c r="K134" s="104"/>
    </row>
    <row r="135" spans="1:11" ht="16.8" x14ac:dyDescent="0.4">
      <c r="A135" s="106"/>
      <c r="B135" s="104"/>
      <c r="C135" s="106"/>
      <c r="D135" s="104"/>
      <c r="E135" s="106"/>
      <c r="F135" s="104"/>
      <c r="G135" s="106"/>
      <c r="H135" s="104"/>
      <c r="I135" s="102"/>
      <c r="J135" s="103"/>
      <c r="K135" s="104"/>
    </row>
    <row r="136" spans="1:11" ht="16.8" x14ac:dyDescent="0.4">
      <c r="A136" s="106"/>
      <c r="B136" s="104"/>
      <c r="C136" s="106"/>
      <c r="D136" s="104"/>
      <c r="E136" s="106"/>
      <c r="F136" s="104"/>
      <c r="G136" s="106"/>
      <c r="H136" s="104"/>
      <c r="I136" s="102"/>
      <c r="J136" s="103"/>
      <c r="K136" s="104"/>
    </row>
    <row r="137" spans="1:11" ht="16.8" x14ac:dyDescent="0.4">
      <c r="A137" s="106"/>
      <c r="B137" s="104"/>
      <c r="C137" s="106"/>
      <c r="D137" s="104"/>
      <c r="E137" s="106"/>
      <c r="F137" s="104"/>
      <c r="G137" s="106"/>
      <c r="H137" s="104"/>
      <c r="I137" s="102"/>
      <c r="J137" s="103"/>
      <c r="K137" s="104"/>
    </row>
    <row r="138" spans="1:11" ht="16.8" x14ac:dyDescent="0.4">
      <c r="A138" s="106"/>
      <c r="B138" s="104"/>
      <c r="C138" s="106"/>
      <c r="D138" s="104"/>
      <c r="E138" s="106"/>
      <c r="F138" s="104"/>
      <c r="G138" s="106"/>
      <c r="H138" s="104"/>
      <c r="I138" s="102"/>
      <c r="J138" s="103"/>
      <c r="K138" s="104"/>
    </row>
    <row r="139" spans="1:11" ht="16.8" x14ac:dyDescent="0.4">
      <c r="A139" s="106"/>
      <c r="B139" s="104"/>
      <c r="C139" s="106"/>
      <c r="D139" s="104"/>
      <c r="E139" s="106"/>
      <c r="F139" s="104"/>
      <c r="G139" s="106"/>
      <c r="H139" s="104"/>
      <c r="I139" s="102"/>
      <c r="J139" s="103"/>
      <c r="K139" s="104"/>
    </row>
    <row r="140" spans="1:11" ht="16.8" x14ac:dyDescent="0.4">
      <c r="A140" s="106"/>
      <c r="B140" s="104"/>
      <c r="C140" s="106"/>
      <c r="D140" s="104"/>
      <c r="E140" s="106"/>
      <c r="F140" s="104"/>
      <c r="G140" s="106"/>
      <c r="H140" s="104"/>
      <c r="I140" s="102"/>
      <c r="J140" s="103"/>
      <c r="K140" s="104"/>
    </row>
    <row r="141" spans="1:11" ht="16.8" x14ac:dyDescent="0.4">
      <c r="A141" s="106"/>
      <c r="B141" s="104"/>
      <c r="C141" s="106"/>
      <c r="D141" s="104"/>
      <c r="E141" s="106"/>
      <c r="F141" s="104"/>
      <c r="G141" s="106"/>
      <c r="H141" s="104"/>
      <c r="I141" s="102"/>
      <c r="J141" s="103"/>
      <c r="K141" s="104"/>
    </row>
    <row r="142" spans="1:11" ht="16.8" x14ac:dyDescent="0.4">
      <c r="A142" s="106"/>
      <c r="B142" s="104"/>
      <c r="C142" s="106"/>
      <c r="D142" s="104"/>
      <c r="E142" s="106"/>
      <c r="F142" s="104"/>
      <c r="G142" s="106"/>
      <c r="H142" s="104"/>
      <c r="I142" s="102"/>
      <c r="J142" s="103"/>
      <c r="K142" s="104"/>
    </row>
    <row r="143" spans="1:11" ht="16.8" x14ac:dyDescent="0.4">
      <c r="A143" s="106"/>
      <c r="B143" s="104"/>
      <c r="C143" s="106"/>
      <c r="D143" s="104"/>
      <c r="E143" s="106"/>
      <c r="F143" s="104"/>
      <c r="G143" s="106"/>
      <c r="H143" s="104"/>
      <c r="I143" s="102"/>
      <c r="J143" s="103"/>
      <c r="K143" s="104"/>
    </row>
    <row r="144" spans="1:11" ht="16.8" x14ac:dyDescent="0.4">
      <c r="A144" s="106"/>
      <c r="B144" s="104"/>
      <c r="C144" s="106"/>
      <c r="D144" s="104"/>
      <c r="E144" s="106"/>
      <c r="F144" s="104"/>
      <c r="G144" s="106"/>
      <c r="H144" s="104"/>
      <c r="I144" s="102"/>
      <c r="J144" s="103"/>
      <c r="K144" s="104"/>
    </row>
    <row r="145" spans="1:11" ht="16.8" x14ac:dyDescent="0.4">
      <c r="A145" s="106"/>
      <c r="B145" s="104"/>
      <c r="C145" s="106"/>
      <c r="D145" s="104"/>
      <c r="E145" s="106"/>
      <c r="F145" s="104"/>
      <c r="G145" s="106"/>
      <c r="H145" s="104"/>
      <c r="I145" s="102"/>
      <c r="J145" s="103"/>
      <c r="K145" s="104"/>
    </row>
    <row r="146" spans="1:11" ht="16.8" x14ac:dyDescent="0.4">
      <c r="A146" s="106"/>
      <c r="B146" s="104"/>
      <c r="C146" s="106"/>
      <c r="D146" s="104"/>
      <c r="E146" s="106"/>
      <c r="F146" s="104"/>
      <c r="G146" s="106"/>
      <c r="H146" s="104"/>
      <c r="I146" s="102"/>
      <c r="J146" s="103"/>
      <c r="K146" s="104"/>
    </row>
    <row r="147" spans="1:11" ht="16.8" x14ac:dyDescent="0.4">
      <c r="A147" s="106"/>
      <c r="B147" s="104"/>
      <c r="C147" s="106"/>
      <c r="D147" s="104"/>
      <c r="E147" s="106"/>
      <c r="F147" s="104"/>
      <c r="G147" s="106"/>
      <c r="H147" s="104"/>
      <c r="I147" s="102"/>
      <c r="J147" s="103"/>
      <c r="K147" s="104"/>
    </row>
    <row r="148" spans="1:11" ht="16.8" x14ac:dyDescent="0.4">
      <c r="A148" s="106"/>
      <c r="B148" s="104"/>
      <c r="C148" s="106"/>
      <c r="D148" s="104"/>
      <c r="E148" s="106"/>
      <c r="F148" s="104"/>
      <c r="G148" s="106"/>
      <c r="H148" s="104"/>
      <c r="I148" s="102"/>
      <c r="J148" s="103"/>
      <c r="K148" s="104"/>
    </row>
    <row r="149" spans="1:11" ht="16.8" x14ac:dyDescent="0.4">
      <c r="A149" s="106"/>
      <c r="B149" s="104"/>
      <c r="C149" s="106"/>
      <c r="D149" s="104"/>
      <c r="E149" s="106"/>
      <c r="F149" s="104"/>
      <c r="G149" s="106"/>
      <c r="H149" s="104"/>
      <c r="I149" s="102"/>
      <c r="J149" s="103"/>
      <c r="K149" s="104"/>
    </row>
    <row r="150" spans="1:11" ht="16.8" x14ac:dyDescent="0.4">
      <c r="A150" s="106"/>
      <c r="B150" s="104"/>
      <c r="C150" s="106"/>
      <c r="D150" s="104"/>
      <c r="E150" s="106"/>
      <c r="F150" s="104"/>
      <c r="G150" s="106"/>
      <c r="H150" s="104"/>
      <c r="I150" s="102"/>
      <c r="J150" s="103"/>
      <c r="K150" s="104"/>
    </row>
    <row r="151" spans="1:11" ht="16.8" x14ac:dyDescent="0.4">
      <c r="A151" s="106"/>
      <c r="B151" s="104"/>
      <c r="C151" s="106"/>
      <c r="D151" s="104"/>
      <c r="E151" s="106"/>
      <c r="F151" s="104"/>
      <c r="G151" s="106"/>
      <c r="H151" s="104"/>
      <c r="I151" s="102"/>
      <c r="J151" s="103"/>
      <c r="K151" s="104"/>
    </row>
    <row r="152" spans="1:11" ht="16.8" x14ac:dyDescent="0.4">
      <c r="A152" s="106"/>
      <c r="B152" s="104"/>
      <c r="C152" s="106"/>
      <c r="D152" s="104"/>
      <c r="E152" s="106"/>
      <c r="F152" s="104"/>
      <c r="G152" s="106"/>
      <c r="H152" s="104"/>
      <c r="I152" s="102"/>
      <c r="J152" s="103"/>
      <c r="K152" s="104"/>
    </row>
    <row r="153" spans="1:11" ht="16.8" x14ac:dyDescent="0.4">
      <c r="A153" s="106"/>
      <c r="B153" s="104"/>
      <c r="C153" s="106"/>
      <c r="D153" s="104"/>
      <c r="E153" s="106"/>
      <c r="F153" s="104"/>
      <c r="G153" s="106"/>
      <c r="H153" s="104"/>
      <c r="I153" s="102"/>
      <c r="J153" s="103"/>
      <c r="K153" s="104"/>
    </row>
    <row r="154" spans="1:11" ht="16.8" x14ac:dyDescent="0.4">
      <c r="A154" s="106"/>
      <c r="B154" s="104"/>
      <c r="C154" s="106"/>
      <c r="D154" s="104"/>
      <c r="E154" s="106"/>
      <c r="F154" s="104"/>
      <c r="G154" s="106"/>
      <c r="H154" s="104"/>
      <c r="I154" s="102"/>
      <c r="J154" s="103"/>
      <c r="K154" s="104"/>
    </row>
    <row r="155" spans="1:11" ht="16.8" x14ac:dyDescent="0.4">
      <c r="A155" s="106"/>
      <c r="B155" s="104"/>
      <c r="C155" s="106"/>
      <c r="D155" s="104"/>
      <c r="E155" s="106"/>
      <c r="F155" s="104"/>
      <c r="G155" s="106"/>
      <c r="H155" s="104"/>
      <c r="I155" s="102"/>
      <c r="J155" s="103"/>
      <c r="K155" s="104"/>
    </row>
    <row r="156" spans="1:11" ht="16.8" x14ac:dyDescent="0.4">
      <c r="A156" s="106"/>
      <c r="B156" s="104"/>
      <c r="C156" s="106"/>
      <c r="D156" s="104"/>
      <c r="E156" s="106"/>
      <c r="F156" s="104"/>
      <c r="G156" s="106"/>
      <c r="H156" s="104"/>
      <c r="I156" s="102"/>
      <c r="J156" s="103"/>
      <c r="K156" s="104"/>
    </row>
    <row r="157" spans="1:11" ht="16.8" x14ac:dyDescent="0.4">
      <c r="A157" s="106"/>
      <c r="B157" s="104"/>
      <c r="C157" s="106"/>
      <c r="D157" s="104"/>
      <c r="E157" s="106"/>
      <c r="F157" s="104"/>
      <c r="G157" s="106"/>
      <c r="H157" s="104"/>
      <c r="I157" s="102"/>
      <c r="J157" s="103"/>
      <c r="K157" s="104"/>
    </row>
    <row r="158" spans="1:11" ht="16.8" x14ac:dyDescent="0.4">
      <c r="A158" s="106"/>
      <c r="B158" s="104"/>
      <c r="C158" s="106"/>
      <c r="D158" s="104"/>
      <c r="E158" s="106"/>
      <c r="F158" s="104"/>
      <c r="G158" s="106"/>
      <c r="H158" s="104"/>
      <c r="I158" s="102"/>
      <c r="J158" s="103"/>
      <c r="K158" s="104"/>
    </row>
    <row r="159" spans="1:11" ht="16.8" x14ac:dyDescent="0.4">
      <c r="A159" s="106"/>
      <c r="B159" s="104"/>
      <c r="C159" s="106"/>
      <c r="D159" s="104"/>
      <c r="E159" s="106"/>
      <c r="F159" s="104"/>
      <c r="G159" s="106"/>
      <c r="H159" s="104"/>
      <c r="I159" s="102"/>
      <c r="J159" s="103"/>
      <c r="K159" s="104"/>
    </row>
    <row r="160" spans="1:11" ht="16.8" x14ac:dyDescent="0.4">
      <c r="A160" s="106"/>
      <c r="B160" s="104"/>
      <c r="C160" s="106"/>
      <c r="D160" s="104"/>
      <c r="E160" s="106"/>
      <c r="F160" s="104"/>
      <c r="G160" s="106"/>
      <c r="H160" s="104"/>
      <c r="I160" s="102"/>
      <c r="J160" s="103"/>
      <c r="K160" s="104"/>
    </row>
    <row r="161" spans="1:11" ht="16.8" x14ac:dyDescent="0.4">
      <c r="A161" s="106"/>
      <c r="B161" s="104"/>
      <c r="C161" s="106"/>
      <c r="D161" s="104"/>
      <c r="E161" s="106"/>
      <c r="F161" s="104"/>
      <c r="G161" s="106"/>
      <c r="H161" s="104"/>
      <c r="I161" s="102"/>
      <c r="J161" s="103"/>
      <c r="K161" s="104"/>
    </row>
    <row r="162" spans="1:11" ht="16.8" x14ac:dyDescent="0.4">
      <c r="A162" s="106"/>
      <c r="B162" s="104"/>
      <c r="C162" s="106"/>
      <c r="D162" s="104"/>
      <c r="E162" s="106"/>
      <c r="F162" s="104"/>
      <c r="G162" s="106"/>
      <c r="H162" s="104"/>
      <c r="I162" s="102"/>
      <c r="J162" s="103"/>
      <c r="K162" s="104"/>
    </row>
    <row r="163" spans="1:11" ht="16.8" x14ac:dyDescent="0.4">
      <c r="A163" s="106"/>
      <c r="B163" s="104"/>
      <c r="C163" s="106"/>
      <c r="D163" s="104"/>
      <c r="E163" s="106"/>
      <c r="F163" s="104"/>
      <c r="G163" s="106"/>
      <c r="H163" s="104"/>
      <c r="I163" s="102"/>
      <c r="J163" s="103"/>
      <c r="K163" s="104"/>
    </row>
    <row r="164" spans="1:11" ht="16.8" x14ac:dyDescent="0.4">
      <c r="A164" s="106"/>
      <c r="B164" s="104"/>
      <c r="C164" s="106"/>
      <c r="D164" s="104"/>
      <c r="E164" s="106"/>
      <c r="F164" s="104"/>
      <c r="G164" s="106"/>
      <c r="H164" s="104"/>
      <c r="I164" s="102"/>
      <c r="J164" s="103"/>
      <c r="K164" s="104"/>
    </row>
    <row r="165" spans="1:11" ht="16.8" x14ac:dyDescent="0.4">
      <c r="A165" s="106"/>
      <c r="B165" s="104"/>
      <c r="C165" s="106"/>
      <c r="D165" s="104"/>
      <c r="E165" s="106"/>
      <c r="F165" s="104"/>
      <c r="G165" s="106"/>
      <c r="H165" s="104"/>
      <c r="I165" s="102"/>
      <c r="J165" s="103"/>
      <c r="K165" s="104"/>
    </row>
    <row r="166" spans="1:11" ht="16.8" x14ac:dyDescent="0.4">
      <c r="A166" s="106"/>
      <c r="B166" s="104"/>
      <c r="C166" s="106"/>
      <c r="D166" s="104"/>
      <c r="E166" s="106"/>
      <c r="F166" s="104"/>
      <c r="G166" s="106"/>
      <c r="H166" s="104"/>
      <c r="I166" s="102"/>
      <c r="J166" s="103"/>
      <c r="K166" s="104"/>
    </row>
    <row r="167" spans="1:11" ht="16.8" x14ac:dyDescent="0.4">
      <c r="A167" s="106"/>
      <c r="B167" s="104"/>
      <c r="C167" s="106"/>
      <c r="D167" s="104"/>
      <c r="E167" s="106"/>
      <c r="F167" s="104"/>
      <c r="G167" s="106"/>
      <c r="H167" s="104"/>
      <c r="I167" s="102"/>
      <c r="J167" s="103"/>
      <c r="K167" s="104"/>
    </row>
    <row r="168" spans="1:11" ht="16.8" x14ac:dyDescent="0.4">
      <c r="A168" s="106"/>
      <c r="B168" s="104"/>
      <c r="C168" s="106"/>
      <c r="D168" s="104"/>
      <c r="E168" s="106"/>
      <c r="F168" s="104"/>
      <c r="G168" s="106"/>
      <c r="H168" s="104"/>
      <c r="I168" s="102"/>
      <c r="J168" s="103"/>
      <c r="K168" s="104"/>
    </row>
    <row r="169" spans="1:11" ht="16.8" x14ac:dyDescent="0.4">
      <c r="A169" s="106"/>
      <c r="B169" s="104"/>
      <c r="C169" s="106"/>
      <c r="D169" s="104"/>
      <c r="E169" s="106"/>
      <c r="F169" s="104"/>
      <c r="G169" s="106"/>
      <c r="H169" s="104"/>
      <c r="I169" s="102"/>
      <c r="J169" s="103"/>
      <c r="K169" s="104"/>
    </row>
    <row r="170" spans="1:11" ht="16.8" x14ac:dyDescent="0.4">
      <c r="A170" s="106"/>
      <c r="B170" s="104"/>
      <c r="C170" s="106"/>
      <c r="D170" s="104"/>
      <c r="E170" s="106"/>
      <c r="F170" s="104"/>
      <c r="G170" s="106"/>
      <c r="H170" s="104"/>
      <c r="I170" s="102"/>
      <c r="J170" s="103"/>
      <c r="K170" s="104"/>
    </row>
    <row r="171" spans="1:11" ht="16.8" x14ac:dyDescent="0.4">
      <c r="A171" s="106"/>
      <c r="B171" s="104"/>
      <c r="C171" s="106"/>
      <c r="D171" s="104"/>
      <c r="E171" s="106"/>
      <c r="F171" s="104"/>
      <c r="G171" s="106"/>
      <c r="H171" s="104"/>
      <c r="I171" s="102"/>
      <c r="J171" s="103"/>
      <c r="K171" s="104"/>
    </row>
    <row r="172" spans="1:11" ht="16.8" x14ac:dyDescent="0.4">
      <c r="A172" s="106"/>
      <c r="B172" s="104"/>
      <c r="C172" s="106"/>
      <c r="D172" s="104"/>
      <c r="E172" s="106"/>
      <c r="F172" s="104"/>
      <c r="G172" s="106"/>
      <c r="H172" s="104"/>
      <c r="I172" s="102"/>
      <c r="J172" s="103"/>
      <c r="K172" s="104"/>
    </row>
    <row r="173" spans="1:11" ht="16.8" x14ac:dyDescent="0.4">
      <c r="A173" s="106"/>
      <c r="B173" s="104"/>
      <c r="C173" s="106"/>
      <c r="D173" s="104"/>
      <c r="E173" s="106"/>
      <c r="F173" s="104"/>
      <c r="G173" s="106"/>
      <c r="H173" s="104"/>
      <c r="I173" s="102"/>
      <c r="J173" s="103"/>
      <c r="K173" s="104"/>
    </row>
    <row r="174" spans="1:11" ht="16.8" x14ac:dyDescent="0.4">
      <c r="A174" s="106"/>
      <c r="B174" s="104"/>
      <c r="C174" s="106"/>
      <c r="D174" s="104"/>
      <c r="E174" s="106"/>
      <c r="F174" s="104"/>
      <c r="G174" s="106"/>
      <c r="H174" s="104"/>
      <c r="I174" s="102"/>
      <c r="J174" s="103"/>
      <c r="K174" s="104"/>
    </row>
    <row r="175" spans="1:11" ht="16.8" x14ac:dyDescent="0.4">
      <c r="A175" s="106"/>
      <c r="B175" s="104"/>
      <c r="C175" s="106"/>
      <c r="D175" s="104"/>
      <c r="E175" s="106"/>
      <c r="F175" s="104"/>
      <c r="G175" s="106"/>
      <c r="H175" s="104"/>
      <c r="I175" s="102"/>
      <c r="J175" s="103"/>
      <c r="K175" s="104"/>
    </row>
    <row r="176" spans="1:11" ht="16.8" x14ac:dyDescent="0.4">
      <c r="A176" s="106"/>
      <c r="B176" s="104"/>
      <c r="C176" s="106"/>
      <c r="D176" s="104"/>
      <c r="E176" s="106"/>
      <c r="F176" s="104"/>
      <c r="G176" s="106"/>
      <c r="H176" s="104"/>
      <c r="I176" s="102"/>
      <c r="J176" s="103"/>
      <c r="K176" s="104"/>
    </row>
    <row r="177" spans="1:11" ht="16.8" x14ac:dyDescent="0.4">
      <c r="A177" s="106"/>
      <c r="B177" s="104"/>
      <c r="C177" s="106"/>
      <c r="D177" s="104"/>
      <c r="E177" s="106"/>
      <c r="F177" s="104"/>
      <c r="G177" s="106"/>
      <c r="H177" s="104"/>
      <c r="I177" s="102"/>
      <c r="J177" s="103"/>
      <c r="K177" s="104"/>
    </row>
    <row r="178" spans="1:11" ht="16.8" x14ac:dyDescent="0.4">
      <c r="A178" s="106"/>
      <c r="B178" s="104"/>
      <c r="C178" s="106"/>
      <c r="D178" s="104"/>
      <c r="E178" s="106"/>
      <c r="F178" s="104"/>
      <c r="G178" s="106"/>
      <c r="H178" s="104"/>
      <c r="I178" s="102"/>
      <c r="J178" s="103"/>
      <c r="K178" s="104"/>
    </row>
    <row r="179" spans="1:11" ht="16.8" x14ac:dyDescent="0.4">
      <c r="A179" s="106"/>
      <c r="B179" s="104"/>
      <c r="C179" s="106"/>
      <c r="D179" s="104"/>
      <c r="E179" s="106"/>
      <c r="F179" s="104"/>
      <c r="G179" s="106"/>
      <c r="H179" s="104"/>
      <c r="I179" s="102"/>
      <c r="J179" s="103"/>
      <c r="K179" s="104"/>
    </row>
    <row r="180" spans="1:11" ht="16.8" x14ac:dyDescent="0.4">
      <c r="A180" s="106"/>
      <c r="B180" s="104"/>
      <c r="C180" s="106"/>
      <c r="D180" s="104"/>
      <c r="E180" s="106"/>
      <c r="F180" s="104"/>
      <c r="G180" s="106"/>
      <c r="H180" s="104"/>
      <c r="I180" s="102"/>
      <c r="J180" s="103"/>
      <c r="K180" s="104"/>
    </row>
    <row r="181" spans="1:11" ht="16.8" x14ac:dyDescent="0.4">
      <c r="A181" s="106"/>
      <c r="B181" s="104"/>
      <c r="C181" s="106"/>
      <c r="D181" s="104"/>
      <c r="E181" s="106"/>
      <c r="F181" s="104"/>
      <c r="G181" s="106"/>
      <c r="H181" s="104"/>
      <c r="I181" s="102"/>
      <c r="J181" s="103"/>
      <c r="K181" s="104"/>
    </row>
    <row r="182" spans="1:11" ht="16.8" x14ac:dyDescent="0.4">
      <c r="A182" s="106"/>
      <c r="B182" s="104"/>
      <c r="C182" s="106"/>
      <c r="D182" s="104"/>
      <c r="E182" s="106"/>
      <c r="F182" s="104"/>
      <c r="G182" s="106"/>
      <c r="H182" s="104"/>
      <c r="I182" s="102"/>
      <c r="J182" s="103"/>
      <c r="K182" s="104"/>
    </row>
    <row r="183" spans="1:11" ht="16.8" x14ac:dyDescent="0.4">
      <c r="A183" s="106"/>
      <c r="B183" s="104"/>
      <c r="C183" s="106"/>
      <c r="D183" s="104"/>
      <c r="E183" s="106"/>
      <c r="F183" s="104"/>
      <c r="G183" s="106"/>
      <c r="H183" s="104"/>
      <c r="I183" s="102"/>
      <c r="J183" s="103"/>
      <c r="K183" s="104"/>
    </row>
    <row r="184" spans="1:11" ht="16.8" x14ac:dyDescent="0.4">
      <c r="A184" s="106"/>
      <c r="B184" s="104"/>
      <c r="C184" s="106"/>
      <c r="D184" s="104"/>
      <c r="E184" s="106"/>
      <c r="F184" s="104"/>
      <c r="G184" s="106"/>
      <c r="H184" s="104"/>
      <c r="I184" s="102"/>
      <c r="J184" s="103"/>
      <c r="K184" s="104"/>
    </row>
    <row r="185" spans="1:11" ht="16.8" x14ac:dyDescent="0.4">
      <c r="A185" s="106"/>
      <c r="B185" s="104"/>
      <c r="C185" s="106"/>
      <c r="D185" s="104"/>
      <c r="E185" s="106"/>
      <c r="F185" s="104"/>
      <c r="G185" s="106"/>
      <c r="H185" s="104"/>
      <c r="I185" s="102"/>
      <c r="J185" s="103"/>
      <c r="K185" s="104"/>
    </row>
    <row r="186" spans="1:11" ht="16.8" x14ac:dyDescent="0.4">
      <c r="A186" s="106"/>
      <c r="B186" s="104"/>
      <c r="C186" s="106"/>
      <c r="D186" s="104"/>
      <c r="E186" s="106"/>
      <c r="F186" s="104"/>
      <c r="G186" s="106"/>
      <c r="H186" s="104"/>
      <c r="I186" s="102"/>
      <c r="J186" s="103"/>
      <c r="K186" s="104"/>
    </row>
    <row r="187" spans="1:11" ht="16.8" x14ac:dyDescent="0.4">
      <c r="A187" s="106"/>
      <c r="B187" s="104"/>
      <c r="C187" s="106"/>
      <c r="D187" s="104"/>
      <c r="E187" s="106"/>
      <c r="F187" s="104"/>
      <c r="G187" s="106"/>
      <c r="H187" s="104"/>
      <c r="I187" s="102"/>
      <c r="J187" s="103"/>
      <c r="K187" s="104"/>
    </row>
    <row r="188" spans="1:11" ht="16.8" x14ac:dyDescent="0.4">
      <c r="A188" s="106"/>
      <c r="B188" s="104"/>
      <c r="C188" s="106"/>
      <c r="D188" s="104"/>
      <c r="E188" s="106"/>
      <c r="F188" s="104"/>
      <c r="G188" s="106"/>
      <c r="H188" s="104"/>
      <c r="I188" s="102"/>
      <c r="J188" s="103"/>
      <c r="K188" s="104"/>
    </row>
    <row r="189" spans="1:11" ht="16.8" x14ac:dyDescent="0.4">
      <c r="A189" s="106"/>
      <c r="B189" s="104"/>
      <c r="C189" s="106"/>
      <c r="D189" s="104"/>
      <c r="E189" s="106"/>
      <c r="F189" s="104"/>
      <c r="G189" s="106"/>
      <c r="H189" s="104"/>
      <c r="I189" s="102"/>
      <c r="J189" s="103"/>
      <c r="K189" s="104"/>
    </row>
    <row r="190" spans="1:11" ht="16.8" x14ac:dyDescent="0.4">
      <c r="A190" s="106"/>
      <c r="B190" s="104"/>
      <c r="C190" s="106"/>
      <c r="D190" s="104"/>
      <c r="E190" s="106"/>
      <c r="F190" s="104"/>
      <c r="G190" s="106"/>
      <c r="H190" s="104"/>
      <c r="I190" s="102"/>
      <c r="J190" s="103"/>
      <c r="K190" s="104"/>
    </row>
    <row r="191" spans="1:11" ht="16.8" x14ac:dyDescent="0.4">
      <c r="A191" s="106"/>
      <c r="B191" s="104"/>
      <c r="C191" s="106"/>
      <c r="D191" s="104"/>
      <c r="E191" s="106"/>
      <c r="F191" s="104"/>
      <c r="G191" s="106"/>
      <c r="H191" s="104"/>
      <c r="I191" s="102"/>
      <c r="J191" s="103"/>
      <c r="K191" s="104"/>
    </row>
  </sheetData>
  <mergeCells count="903">
    <mergeCell ref="A51:B51"/>
    <mergeCell ref="C51:D51"/>
    <mergeCell ref="E51:F51"/>
    <mergeCell ref="G51:H51"/>
    <mergeCell ref="I51:K51"/>
    <mergeCell ref="A49:B49"/>
    <mergeCell ref="C49:D49"/>
    <mergeCell ref="E49:F49"/>
    <mergeCell ref="G49:H49"/>
    <mergeCell ref="I49:K49"/>
    <mergeCell ref="A50:B50"/>
    <mergeCell ref="C50:D50"/>
    <mergeCell ref="E50:F50"/>
    <mergeCell ref="G50:H50"/>
    <mergeCell ref="I50:K50"/>
    <mergeCell ref="A47:B47"/>
    <mergeCell ref="C47:D47"/>
    <mergeCell ref="E47:F47"/>
    <mergeCell ref="G47:H47"/>
    <mergeCell ref="I47:K47"/>
    <mergeCell ref="A48:B48"/>
    <mergeCell ref="C48:D48"/>
    <mergeCell ref="E48:F48"/>
    <mergeCell ref="G48:H48"/>
    <mergeCell ref="I48:K48"/>
    <mergeCell ref="A45:B45"/>
    <mergeCell ref="C45:D45"/>
    <mergeCell ref="E45:F45"/>
    <mergeCell ref="G45:H45"/>
    <mergeCell ref="I45:K45"/>
    <mergeCell ref="A46:B46"/>
    <mergeCell ref="C46:D46"/>
    <mergeCell ref="E46:F46"/>
    <mergeCell ref="G46:H46"/>
    <mergeCell ref="I46:K46"/>
    <mergeCell ref="A43:B43"/>
    <mergeCell ref="C43:D43"/>
    <mergeCell ref="E43:F43"/>
    <mergeCell ref="G43:H43"/>
    <mergeCell ref="I43:K43"/>
    <mergeCell ref="A44:B44"/>
    <mergeCell ref="C44:D44"/>
    <mergeCell ref="E44:F44"/>
    <mergeCell ref="G44:H44"/>
    <mergeCell ref="I44:K44"/>
    <mergeCell ref="A41:B41"/>
    <mergeCell ref="C41:D41"/>
    <mergeCell ref="E41:F41"/>
    <mergeCell ref="G41:H41"/>
    <mergeCell ref="I41:K41"/>
    <mergeCell ref="A42:B42"/>
    <mergeCell ref="C42:D42"/>
    <mergeCell ref="E42:F42"/>
    <mergeCell ref="G42:H42"/>
    <mergeCell ref="I42:K42"/>
    <mergeCell ref="A39:B39"/>
    <mergeCell ref="C39:D39"/>
    <mergeCell ref="E39:F39"/>
    <mergeCell ref="G39:H39"/>
    <mergeCell ref="I39:K39"/>
    <mergeCell ref="A40:B40"/>
    <mergeCell ref="C40:D40"/>
    <mergeCell ref="E40:F40"/>
    <mergeCell ref="G40:H40"/>
    <mergeCell ref="I40:K40"/>
    <mergeCell ref="A37:B37"/>
    <mergeCell ref="C37:D37"/>
    <mergeCell ref="E37:F37"/>
    <mergeCell ref="G37:H37"/>
    <mergeCell ref="I37:K37"/>
    <mergeCell ref="A38:B38"/>
    <mergeCell ref="C38:D38"/>
    <mergeCell ref="E38:F38"/>
    <mergeCell ref="G38:H38"/>
    <mergeCell ref="I38:K38"/>
    <mergeCell ref="A35:B35"/>
    <mergeCell ref="C35:D35"/>
    <mergeCell ref="E35:F35"/>
    <mergeCell ref="G35:H35"/>
    <mergeCell ref="I35:K35"/>
    <mergeCell ref="A36:B36"/>
    <mergeCell ref="C36:D36"/>
    <mergeCell ref="E36:F36"/>
    <mergeCell ref="G36:H36"/>
    <mergeCell ref="I36:K36"/>
    <mergeCell ref="A33:B33"/>
    <mergeCell ref="C33:D33"/>
    <mergeCell ref="E33:F33"/>
    <mergeCell ref="G33:H33"/>
    <mergeCell ref="I33:K33"/>
    <mergeCell ref="A34:B34"/>
    <mergeCell ref="C34:D34"/>
    <mergeCell ref="E34:F34"/>
    <mergeCell ref="G34:H34"/>
    <mergeCell ref="I34:K34"/>
    <mergeCell ref="A31:B31"/>
    <mergeCell ref="C31:D31"/>
    <mergeCell ref="E31:F31"/>
    <mergeCell ref="G31:H31"/>
    <mergeCell ref="I31:K31"/>
    <mergeCell ref="A32:B32"/>
    <mergeCell ref="C32:D32"/>
    <mergeCell ref="E32:F32"/>
    <mergeCell ref="G32:H32"/>
    <mergeCell ref="I32:K32"/>
    <mergeCell ref="A29:B29"/>
    <mergeCell ref="C29:D29"/>
    <mergeCell ref="E29:F29"/>
    <mergeCell ref="G29:H29"/>
    <mergeCell ref="I29:K29"/>
    <mergeCell ref="A30:B30"/>
    <mergeCell ref="C30:D30"/>
    <mergeCell ref="E30:F30"/>
    <mergeCell ref="G30:H30"/>
    <mergeCell ref="I30:K30"/>
    <mergeCell ref="A27:B27"/>
    <mergeCell ref="C27:D27"/>
    <mergeCell ref="E27:F27"/>
    <mergeCell ref="G27:H27"/>
    <mergeCell ref="I27:K27"/>
    <mergeCell ref="A28:B28"/>
    <mergeCell ref="C28:D28"/>
    <mergeCell ref="E28:F28"/>
    <mergeCell ref="G28:H28"/>
    <mergeCell ref="I28:K28"/>
    <mergeCell ref="A25:B25"/>
    <mergeCell ref="C25:D25"/>
    <mergeCell ref="E25:F25"/>
    <mergeCell ref="G25:H25"/>
    <mergeCell ref="I25:K25"/>
    <mergeCell ref="A26:B26"/>
    <mergeCell ref="C26:D26"/>
    <mergeCell ref="E26:F26"/>
    <mergeCell ref="G26:H26"/>
    <mergeCell ref="I26:K26"/>
    <mergeCell ref="A23:B23"/>
    <mergeCell ref="C23:D23"/>
    <mergeCell ref="E23:F23"/>
    <mergeCell ref="G23:H23"/>
    <mergeCell ref="I23:K23"/>
    <mergeCell ref="A24:B24"/>
    <mergeCell ref="C24:D24"/>
    <mergeCell ref="E24:F24"/>
    <mergeCell ref="G24:H24"/>
    <mergeCell ref="I24:K24"/>
    <mergeCell ref="A21:B21"/>
    <mergeCell ref="C21:D21"/>
    <mergeCell ref="E21:F21"/>
    <mergeCell ref="G21:H21"/>
    <mergeCell ref="I21:K21"/>
    <mergeCell ref="A22:B22"/>
    <mergeCell ref="C22:D22"/>
    <mergeCell ref="E22:F22"/>
    <mergeCell ref="G22:H22"/>
    <mergeCell ref="I22:K22"/>
    <mergeCell ref="A19:B19"/>
    <mergeCell ref="C19:D19"/>
    <mergeCell ref="E19:F19"/>
    <mergeCell ref="G19:H19"/>
    <mergeCell ref="I19:K19"/>
    <mergeCell ref="A20:B20"/>
    <mergeCell ref="C20:D20"/>
    <mergeCell ref="E20:F20"/>
    <mergeCell ref="G20:H20"/>
    <mergeCell ref="I20:K20"/>
    <mergeCell ref="A17:B17"/>
    <mergeCell ref="C17:D17"/>
    <mergeCell ref="E17:F17"/>
    <mergeCell ref="G17:H17"/>
    <mergeCell ref="I17:K17"/>
    <mergeCell ref="A18:B18"/>
    <mergeCell ref="C18:D18"/>
    <mergeCell ref="E18:F18"/>
    <mergeCell ref="G18:H18"/>
    <mergeCell ref="I18:K18"/>
    <mergeCell ref="A15:B15"/>
    <mergeCell ref="C15:D15"/>
    <mergeCell ref="E15:F15"/>
    <mergeCell ref="G15:H15"/>
    <mergeCell ref="I15:K15"/>
    <mergeCell ref="A16:B16"/>
    <mergeCell ref="C16:D16"/>
    <mergeCell ref="E16:F16"/>
    <mergeCell ref="G16:H16"/>
    <mergeCell ref="I16:K16"/>
    <mergeCell ref="A187:B187"/>
    <mergeCell ref="A188:B188"/>
    <mergeCell ref="A189:B189"/>
    <mergeCell ref="A190:B190"/>
    <mergeCell ref="A191:B191"/>
    <mergeCell ref="A182:B182"/>
    <mergeCell ref="A183:B183"/>
    <mergeCell ref="A184:B184"/>
    <mergeCell ref="A185:B185"/>
    <mergeCell ref="A186:B186"/>
    <mergeCell ref="A177:B177"/>
    <mergeCell ref="A178:B178"/>
    <mergeCell ref="A179:B179"/>
    <mergeCell ref="A180:B180"/>
    <mergeCell ref="A181:B181"/>
    <mergeCell ref="A172:B172"/>
    <mergeCell ref="A173:B173"/>
    <mergeCell ref="A174:B174"/>
    <mergeCell ref="A175:B175"/>
    <mergeCell ref="A176:B176"/>
    <mergeCell ref="A167:B167"/>
    <mergeCell ref="A168:B168"/>
    <mergeCell ref="A169:B169"/>
    <mergeCell ref="A170:B170"/>
    <mergeCell ref="A171:B171"/>
    <mergeCell ref="A162:B162"/>
    <mergeCell ref="A163:B163"/>
    <mergeCell ref="A164:B164"/>
    <mergeCell ref="A165:B165"/>
    <mergeCell ref="A166:B166"/>
    <mergeCell ref="A157:B157"/>
    <mergeCell ref="A158:B158"/>
    <mergeCell ref="A159:B159"/>
    <mergeCell ref="A160:B160"/>
    <mergeCell ref="A161:B161"/>
    <mergeCell ref="A152:B152"/>
    <mergeCell ref="A153:B153"/>
    <mergeCell ref="A154:B154"/>
    <mergeCell ref="A155:B155"/>
    <mergeCell ref="A156:B156"/>
    <mergeCell ref="A147:B147"/>
    <mergeCell ref="A148:B148"/>
    <mergeCell ref="A149:B149"/>
    <mergeCell ref="A150:B150"/>
    <mergeCell ref="A151:B151"/>
    <mergeCell ref="A142:B142"/>
    <mergeCell ref="A143:B143"/>
    <mergeCell ref="A144:B144"/>
    <mergeCell ref="A145:B145"/>
    <mergeCell ref="A146:B146"/>
    <mergeCell ref="A137:B137"/>
    <mergeCell ref="A138:B138"/>
    <mergeCell ref="A139:B139"/>
    <mergeCell ref="A140:B140"/>
    <mergeCell ref="A141:B141"/>
    <mergeCell ref="A132:B132"/>
    <mergeCell ref="A133:B133"/>
    <mergeCell ref="A134:B134"/>
    <mergeCell ref="A135:B135"/>
    <mergeCell ref="A136:B136"/>
    <mergeCell ref="A127:B127"/>
    <mergeCell ref="A128:B128"/>
    <mergeCell ref="A129:B129"/>
    <mergeCell ref="A130:B130"/>
    <mergeCell ref="A131:B131"/>
    <mergeCell ref="A122:B122"/>
    <mergeCell ref="A123:B123"/>
    <mergeCell ref="A124:B124"/>
    <mergeCell ref="A125:B125"/>
    <mergeCell ref="A126:B126"/>
    <mergeCell ref="A117:B117"/>
    <mergeCell ref="A118:B118"/>
    <mergeCell ref="A119:B119"/>
    <mergeCell ref="A120:B120"/>
    <mergeCell ref="A121:B121"/>
    <mergeCell ref="A112:B112"/>
    <mergeCell ref="A113:B113"/>
    <mergeCell ref="A114:B114"/>
    <mergeCell ref="A115:B115"/>
    <mergeCell ref="A116:B116"/>
    <mergeCell ref="A107:B107"/>
    <mergeCell ref="A108:B108"/>
    <mergeCell ref="A109:B109"/>
    <mergeCell ref="A110:B110"/>
    <mergeCell ref="A111:B111"/>
    <mergeCell ref="A102:B102"/>
    <mergeCell ref="A103:B103"/>
    <mergeCell ref="A104:B104"/>
    <mergeCell ref="A105:B105"/>
    <mergeCell ref="A106:B106"/>
    <mergeCell ref="A97:B97"/>
    <mergeCell ref="A98:B98"/>
    <mergeCell ref="A99:B99"/>
    <mergeCell ref="A100:B100"/>
    <mergeCell ref="A101:B101"/>
    <mergeCell ref="A92:B92"/>
    <mergeCell ref="A93:B93"/>
    <mergeCell ref="A94:B94"/>
    <mergeCell ref="A95:B95"/>
    <mergeCell ref="A96:B96"/>
    <mergeCell ref="A87:B87"/>
    <mergeCell ref="A88:B88"/>
    <mergeCell ref="A89:B89"/>
    <mergeCell ref="A90:B90"/>
    <mergeCell ref="A91:B91"/>
    <mergeCell ref="A82:B82"/>
    <mergeCell ref="A83:B83"/>
    <mergeCell ref="A84:B84"/>
    <mergeCell ref="A85:B85"/>
    <mergeCell ref="A86:B86"/>
    <mergeCell ref="A77:B77"/>
    <mergeCell ref="A78:B78"/>
    <mergeCell ref="A79:B79"/>
    <mergeCell ref="A80:B80"/>
    <mergeCell ref="A81:B81"/>
    <mergeCell ref="A72:B72"/>
    <mergeCell ref="A73:B73"/>
    <mergeCell ref="A74:B74"/>
    <mergeCell ref="A75:B75"/>
    <mergeCell ref="A76:B76"/>
    <mergeCell ref="A67:B67"/>
    <mergeCell ref="A68:B68"/>
    <mergeCell ref="A69:B69"/>
    <mergeCell ref="A70:B70"/>
    <mergeCell ref="A71:B71"/>
    <mergeCell ref="A62:B62"/>
    <mergeCell ref="A63:B63"/>
    <mergeCell ref="A64:B64"/>
    <mergeCell ref="A65:B65"/>
    <mergeCell ref="A66:B66"/>
    <mergeCell ref="C191:D191"/>
    <mergeCell ref="A12:B12"/>
    <mergeCell ref="A13:B13"/>
    <mergeCell ref="A14:B14"/>
    <mergeCell ref="A52:B52"/>
    <mergeCell ref="A53:B53"/>
    <mergeCell ref="A54:B54"/>
    <mergeCell ref="A55:B55"/>
    <mergeCell ref="A56:B56"/>
    <mergeCell ref="A57:B57"/>
    <mergeCell ref="A58:B58"/>
    <mergeCell ref="A59:B59"/>
    <mergeCell ref="A60:B60"/>
    <mergeCell ref="A61:B61"/>
    <mergeCell ref="C186:D186"/>
    <mergeCell ref="C187:D187"/>
    <mergeCell ref="C188:D188"/>
    <mergeCell ref="C189:D189"/>
    <mergeCell ref="C190:D190"/>
    <mergeCell ref="C181:D181"/>
    <mergeCell ref="C182:D182"/>
    <mergeCell ref="C183:D183"/>
    <mergeCell ref="C184:D184"/>
    <mergeCell ref="C185:D185"/>
    <mergeCell ref="C176:D176"/>
    <mergeCell ref="C177:D177"/>
    <mergeCell ref="C178:D178"/>
    <mergeCell ref="C179:D179"/>
    <mergeCell ref="C180:D180"/>
    <mergeCell ref="C171:D171"/>
    <mergeCell ref="C172:D172"/>
    <mergeCell ref="C173:D173"/>
    <mergeCell ref="C174:D174"/>
    <mergeCell ref="C175:D175"/>
    <mergeCell ref="C166:D166"/>
    <mergeCell ref="C167:D167"/>
    <mergeCell ref="C168:D168"/>
    <mergeCell ref="C169:D169"/>
    <mergeCell ref="C170:D170"/>
    <mergeCell ref="C161:D161"/>
    <mergeCell ref="C162:D162"/>
    <mergeCell ref="C163:D163"/>
    <mergeCell ref="C164:D164"/>
    <mergeCell ref="C165:D165"/>
    <mergeCell ref="C156:D156"/>
    <mergeCell ref="C157:D157"/>
    <mergeCell ref="C158:D158"/>
    <mergeCell ref="C159:D159"/>
    <mergeCell ref="C160:D160"/>
    <mergeCell ref="C151:D151"/>
    <mergeCell ref="C152:D152"/>
    <mergeCell ref="C153:D153"/>
    <mergeCell ref="C154:D154"/>
    <mergeCell ref="C155:D155"/>
    <mergeCell ref="C146:D146"/>
    <mergeCell ref="C147:D147"/>
    <mergeCell ref="C148:D148"/>
    <mergeCell ref="C149:D149"/>
    <mergeCell ref="C150:D150"/>
    <mergeCell ref="C141:D141"/>
    <mergeCell ref="C142:D142"/>
    <mergeCell ref="C143:D143"/>
    <mergeCell ref="C144:D144"/>
    <mergeCell ref="C145:D145"/>
    <mergeCell ref="C136:D136"/>
    <mergeCell ref="C137:D137"/>
    <mergeCell ref="C138:D138"/>
    <mergeCell ref="C139:D139"/>
    <mergeCell ref="C140:D140"/>
    <mergeCell ref="C131:D131"/>
    <mergeCell ref="C132:D132"/>
    <mergeCell ref="C133:D133"/>
    <mergeCell ref="C134:D134"/>
    <mergeCell ref="C135:D135"/>
    <mergeCell ref="C126:D126"/>
    <mergeCell ref="C127:D127"/>
    <mergeCell ref="C128:D128"/>
    <mergeCell ref="C129:D129"/>
    <mergeCell ref="C130:D130"/>
    <mergeCell ref="C121:D121"/>
    <mergeCell ref="C122:D122"/>
    <mergeCell ref="C123:D123"/>
    <mergeCell ref="C124:D124"/>
    <mergeCell ref="C125:D125"/>
    <mergeCell ref="C116:D116"/>
    <mergeCell ref="C117:D117"/>
    <mergeCell ref="C118:D118"/>
    <mergeCell ref="C119:D119"/>
    <mergeCell ref="C120:D120"/>
    <mergeCell ref="C111:D111"/>
    <mergeCell ref="C112:D112"/>
    <mergeCell ref="C113:D113"/>
    <mergeCell ref="C114:D114"/>
    <mergeCell ref="C115:D115"/>
    <mergeCell ref="C106:D106"/>
    <mergeCell ref="C107:D107"/>
    <mergeCell ref="C108:D108"/>
    <mergeCell ref="C109:D109"/>
    <mergeCell ref="C110:D110"/>
    <mergeCell ref="C101:D101"/>
    <mergeCell ref="C102:D102"/>
    <mergeCell ref="C103:D103"/>
    <mergeCell ref="C104:D104"/>
    <mergeCell ref="C105:D105"/>
    <mergeCell ref="C96:D96"/>
    <mergeCell ref="C97:D97"/>
    <mergeCell ref="C98:D98"/>
    <mergeCell ref="C99:D99"/>
    <mergeCell ref="C100:D100"/>
    <mergeCell ref="C91:D91"/>
    <mergeCell ref="C92:D92"/>
    <mergeCell ref="C93:D93"/>
    <mergeCell ref="C94:D94"/>
    <mergeCell ref="C95:D95"/>
    <mergeCell ref="C86:D86"/>
    <mergeCell ref="C87:D87"/>
    <mergeCell ref="C88:D88"/>
    <mergeCell ref="C89:D89"/>
    <mergeCell ref="C90:D90"/>
    <mergeCell ref="C81:D81"/>
    <mergeCell ref="C82:D82"/>
    <mergeCell ref="C83:D83"/>
    <mergeCell ref="C84:D84"/>
    <mergeCell ref="C85:D85"/>
    <mergeCell ref="C76:D76"/>
    <mergeCell ref="C77:D77"/>
    <mergeCell ref="C78:D78"/>
    <mergeCell ref="C79:D79"/>
    <mergeCell ref="C80:D80"/>
    <mergeCell ref="C71:D71"/>
    <mergeCell ref="C72:D72"/>
    <mergeCell ref="C73:D73"/>
    <mergeCell ref="C74:D74"/>
    <mergeCell ref="C75:D75"/>
    <mergeCell ref="C66:D66"/>
    <mergeCell ref="C67:D67"/>
    <mergeCell ref="C68:D68"/>
    <mergeCell ref="C69:D69"/>
    <mergeCell ref="C70:D70"/>
    <mergeCell ref="C61:D61"/>
    <mergeCell ref="C62:D62"/>
    <mergeCell ref="C63:D63"/>
    <mergeCell ref="C64:D64"/>
    <mergeCell ref="C65:D65"/>
    <mergeCell ref="C56:D56"/>
    <mergeCell ref="C57:D57"/>
    <mergeCell ref="C58:D58"/>
    <mergeCell ref="C59:D59"/>
    <mergeCell ref="C60:D60"/>
    <mergeCell ref="C14:D14"/>
    <mergeCell ref="C52:D52"/>
    <mergeCell ref="C53:D53"/>
    <mergeCell ref="C54:D54"/>
    <mergeCell ref="C55:D55"/>
    <mergeCell ref="E189:F189"/>
    <mergeCell ref="E190:F190"/>
    <mergeCell ref="E191:F191"/>
    <mergeCell ref="E184:F184"/>
    <mergeCell ref="E185:F185"/>
    <mergeCell ref="E186:F186"/>
    <mergeCell ref="E187:F187"/>
    <mergeCell ref="E188:F188"/>
    <mergeCell ref="E179:F179"/>
    <mergeCell ref="E180:F180"/>
    <mergeCell ref="E181:F181"/>
    <mergeCell ref="E182:F182"/>
    <mergeCell ref="E183:F183"/>
    <mergeCell ref="E174:F174"/>
    <mergeCell ref="E175:F175"/>
    <mergeCell ref="E176:F176"/>
    <mergeCell ref="E177:F177"/>
    <mergeCell ref="E178:F178"/>
    <mergeCell ref="E169:F169"/>
    <mergeCell ref="E170:F170"/>
    <mergeCell ref="E171:F171"/>
    <mergeCell ref="E172:F172"/>
    <mergeCell ref="E173:F173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54:F154"/>
    <mergeCell ref="E155:F155"/>
    <mergeCell ref="E156:F156"/>
    <mergeCell ref="E157:F157"/>
    <mergeCell ref="E158:F158"/>
    <mergeCell ref="E149:F149"/>
    <mergeCell ref="E150:F150"/>
    <mergeCell ref="E151:F151"/>
    <mergeCell ref="E152:F152"/>
    <mergeCell ref="E153:F153"/>
    <mergeCell ref="E144:F144"/>
    <mergeCell ref="E145:F145"/>
    <mergeCell ref="E146:F146"/>
    <mergeCell ref="E147:F147"/>
    <mergeCell ref="E148:F148"/>
    <mergeCell ref="E139:F139"/>
    <mergeCell ref="E140:F140"/>
    <mergeCell ref="E141:F141"/>
    <mergeCell ref="E142:F142"/>
    <mergeCell ref="E143:F143"/>
    <mergeCell ref="E134:F134"/>
    <mergeCell ref="E135:F135"/>
    <mergeCell ref="E136:F136"/>
    <mergeCell ref="E137:F137"/>
    <mergeCell ref="E138:F138"/>
    <mergeCell ref="E129:F129"/>
    <mergeCell ref="E130:F130"/>
    <mergeCell ref="E131:F131"/>
    <mergeCell ref="E132:F132"/>
    <mergeCell ref="E133:F133"/>
    <mergeCell ref="E124:F124"/>
    <mergeCell ref="E125:F125"/>
    <mergeCell ref="E126:F126"/>
    <mergeCell ref="E127:F127"/>
    <mergeCell ref="E128:F128"/>
    <mergeCell ref="E119:F119"/>
    <mergeCell ref="E120:F120"/>
    <mergeCell ref="E121:F121"/>
    <mergeCell ref="E122:F122"/>
    <mergeCell ref="E123:F123"/>
    <mergeCell ref="E114:F114"/>
    <mergeCell ref="E115:F115"/>
    <mergeCell ref="E116:F116"/>
    <mergeCell ref="E117:F117"/>
    <mergeCell ref="E118:F118"/>
    <mergeCell ref="E109:F109"/>
    <mergeCell ref="E110:F110"/>
    <mergeCell ref="E111:F111"/>
    <mergeCell ref="E112:F112"/>
    <mergeCell ref="E113:F113"/>
    <mergeCell ref="E104:F104"/>
    <mergeCell ref="E105:F105"/>
    <mergeCell ref="E106:F106"/>
    <mergeCell ref="E107:F107"/>
    <mergeCell ref="E108:F108"/>
    <mergeCell ref="E99:F99"/>
    <mergeCell ref="E100:F100"/>
    <mergeCell ref="E101:F101"/>
    <mergeCell ref="E102:F102"/>
    <mergeCell ref="E103:F103"/>
    <mergeCell ref="E94:F94"/>
    <mergeCell ref="E95:F95"/>
    <mergeCell ref="E96:F96"/>
    <mergeCell ref="E97:F97"/>
    <mergeCell ref="E98:F98"/>
    <mergeCell ref="E89:F89"/>
    <mergeCell ref="E90:F90"/>
    <mergeCell ref="E91:F91"/>
    <mergeCell ref="E92:F92"/>
    <mergeCell ref="E93:F93"/>
    <mergeCell ref="E84:F84"/>
    <mergeCell ref="E85:F85"/>
    <mergeCell ref="E86:F86"/>
    <mergeCell ref="E87:F87"/>
    <mergeCell ref="E88:F88"/>
    <mergeCell ref="E79:F79"/>
    <mergeCell ref="E80:F80"/>
    <mergeCell ref="E81:F81"/>
    <mergeCell ref="E82:F82"/>
    <mergeCell ref="E83:F83"/>
    <mergeCell ref="E74:F74"/>
    <mergeCell ref="E75:F75"/>
    <mergeCell ref="E76:F76"/>
    <mergeCell ref="E77:F77"/>
    <mergeCell ref="E78:F78"/>
    <mergeCell ref="E69:F69"/>
    <mergeCell ref="E70:F70"/>
    <mergeCell ref="E71:F71"/>
    <mergeCell ref="E72:F72"/>
    <mergeCell ref="E73:F73"/>
    <mergeCell ref="E64:F64"/>
    <mergeCell ref="E65:F65"/>
    <mergeCell ref="E66:F66"/>
    <mergeCell ref="E67:F67"/>
    <mergeCell ref="E68:F68"/>
    <mergeCell ref="G190:H190"/>
    <mergeCell ref="G191:H191"/>
    <mergeCell ref="E13:F13"/>
    <mergeCell ref="E14:F14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1:F61"/>
    <mergeCell ref="E62:F62"/>
    <mergeCell ref="E63:F63"/>
    <mergeCell ref="G185:H185"/>
    <mergeCell ref="G186:H186"/>
    <mergeCell ref="G187:H187"/>
    <mergeCell ref="G188:H188"/>
    <mergeCell ref="G189:H189"/>
    <mergeCell ref="G180:H180"/>
    <mergeCell ref="G181:H181"/>
    <mergeCell ref="G182:H182"/>
    <mergeCell ref="G183:H183"/>
    <mergeCell ref="G184:H184"/>
    <mergeCell ref="G175:H175"/>
    <mergeCell ref="G176:H176"/>
    <mergeCell ref="G177:H177"/>
    <mergeCell ref="G178:H178"/>
    <mergeCell ref="G179:H179"/>
    <mergeCell ref="G170:H170"/>
    <mergeCell ref="G171:H171"/>
    <mergeCell ref="G172:H172"/>
    <mergeCell ref="G173:H173"/>
    <mergeCell ref="G174:H174"/>
    <mergeCell ref="G165:H165"/>
    <mergeCell ref="G166:H166"/>
    <mergeCell ref="G167:H167"/>
    <mergeCell ref="G168:H168"/>
    <mergeCell ref="G169:H169"/>
    <mergeCell ref="G160:H160"/>
    <mergeCell ref="G161:H161"/>
    <mergeCell ref="G162:H162"/>
    <mergeCell ref="G163:H163"/>
    <mergeCell ref="G164:H164"/>
    <mergeCell ref="G155:H155"/>
    <mergeCell ref="G156:H156"/>
    <mergeCell ref="G157:H157"/>
    <mergeCell ref="G158:H158"/>
    <mergeCell ref="G159:H159"/>
    <mergeCell ref="G150:H150"/>
    <mergeCell ref="G151:H151"/>
    <mergeCell ref="G152:H152"/>
    <mergeCell ref="G153:H153"/>
    <mergeCell ref="G154:H154"/>
    <mergeCell ref="G145:H145"/>
    <mergeCell ref="G146:H146"/>
    <mergeCell ref="G147:H147"/>
    <mergeCell ref="G148:H148"/>
    <mergeCell ref="G149:H149"/>
    <mergeCell ref="G140:H140"/>
    <mergeCell ref="G141:H141"/>
    <mergeCell ref="G142:H142"/>
    <mergeCell ref="G143:H143"/>
    <mergeCell ref="G144:H144"/>
    <mergeCell ref="G135:H135"/>
    <mergeCell ref="G136:H136"/>
    <mergeCell ref="G137:H137"/>
    <mergeCell ref="G138:H138"/>
    <mergeCell ref="G139:H139"/>
    <mergeCell ref="G130:H130"/>
    <mergeCell ref="G131:H131"/>
    <mergeCell ref="G132:H132"/>
    <mergeCell ref="G133:H133"/>
    <mergeCell ref="G134:H134"/>
    <mergeCell ref="G125:H125"/>
    <mergeCell ref="G126:H126"/>
    <mergeCell ref="G127:H127"/>
    <mergeCell ref="G128:H128"/>
    <mergeCell ref="G129:H129"/>
    <mergeCell ref="G120:H120"/>
    <mergeCell ref="G121:H121"/>
    <mergeCell ref="G122:H122"/>
    <mergeCell ref="G123:H123"/>
    <mergeCell ref="G124:H124"/>
    <mergeCell ref="G115:H115"/>
    <mergeCell ref="G116:H116"/>
    <mergeCell ref="G117:H117"/>
    <mergeCell ref="G118:H118"/>
    <mergeCell ref="G119:H119"/>
    <mergeCell ref="G110:H110"/>
    <mergeCell ref="G111:H111"/>
    <mergeCell ref="G112:H112"/>
    <mergeCell ref="G113:H113"/>
    <mergeCell ref="G114:H114"/>
    <mergeCell ref="G105:H105"/>
    <mergeCell ref="G106:H106"/>
    <mergeCell ref="G107:H107"/>
    <mergeCell ref="G108:H108"/>
    <mergeCell ref="G109:H109"/>
    <mergeCell ref="G100:H100"/>
    <mergeCell ref="G101:H101"/>
    <mergeCell ref="G102:H102"/>
    <mergeCell ref="G103:H103"/>
    <mergeCell ref="G104:H104"/>
    <mergeCell ref="G95:H95"/>
    <mergeCell ref="G96:H96"/>
    <mergeCell ref="G97:H97"/>
    <mergeCell ref="G98:H98"/>
    <mergeCell ref="G99:H99"/>
    <mergeCell ref="G90:H90"/>
    <mergeCell ref="G91:H91"/>
    <mergeCell ref="G92:H92"/>
    <mergeCell ref="G93:H93"/>
    <mergeCell ref="G94:H94"/>
    <mergeCell ref="G85:H85"/>
    <mergeCell ref="G86:H86"/>
    <mergeCell ref="G87:H87"/>
    <mergeCell ref="G88:H88"/>
    <mergeCell ref="G89:H89"/>
    <mergeCell ref="G80:H80"/>
    <mergeCell ref="G81:H81"/>
    <mergeCell ref="G82:H82"/>
    <mergeCell ref="G83:H83"/>
    <mergeCell ref="G84:H84"/>
    <mergeCell ref="G75:H75"/>
    <mergeCell ref="G76:H76"/>
    <mergeCell ref="G77:H77"/>
    <mergeCell ref="G78:H78"/>
    <mergeCell ref="G79:H79"/>
    <mergeCell ref="G70:H70"/>
    <mergeCell ref="G71:H71"/>
    <mergeCell ref="G72:H72"/>
    <mergeCell ref="G73:H73"/>
    <mergeCell ref="G74:H74"/>
    <mergeCell ref="G65:H65"/>
    <mergeCell ref="G66:H66"/>
    <mergeCell ref="G67:H67"/>
    <mergeCell ref="G68:H68"/>
    <mergeCell ref="G69:H69"/>
    <mergeCell ref="I190:K190"/>
    <mergeCell ref="I191:K191"/>
    <mergeCell ref="G14:H14"/>
    <mergeCell ref="G52:H52"/>
    <mergeCell ref="G53:H53"/>
    <mergeCell ref="G54:H54"/>
    <mergeCell ref="G55:H55"/>
    <mergeCell ref="G56:H56"/>
    <mergeCell ref="G57:H57"/>
    <mergeCell ref="G58:H58"/>
    <mergeCell ref="G59:H59"/>
    <mergeCell ref="G60:H60"/>
    <mergeCell ref="G61:H61"/>
    <mergeCell ref="G62:H62"/>
    <mergeCell ref="G63:H63"/>
    <mergeCell ref="G64:H64"/>
    <mergeCell ref="I185:K185"/>
    <mergeCell ref="I186:K186"/>
    <mergeCell ref="I187:K187"/>
    <mergeCell ref="I188:K188"/>
    <mergeCell ref="I189:K189"/>
    <mergeCell ref="I180:K180"/>
    <mergeCell ref="I181:K181"/>
    <mergeCell ref="I182:K182"/>
    <mergeCell ref="I183:K183"/>
    <mergeCell ref="I184:K184"/>
    <mergeCell ref="I175:K175"/>
    <mergeCell ref="I176:K176"/>
    <mergeCell ref="I177:K177"/>
    <mergeCell ref="I178:K178"/>
    <mergeCell ref="I179:K179"/>
    <mergeCell ref="I170:K170"/>
    <mergeCell ref="I171:K171"/>
    <mergeCell ref="I172:K172"/>
    <mergeCell ref="I173:K173"/>
    <mergeCell ref="I174:K174"/>
    <mergeCell ref="I165:K165"/>
    <mergeCell ref="I166:K166"/>
    <mergeCell ref="I167:K167"/>
    <mergeCell ref="I168:K168"/>
    <mergeCell ref="I169:K169"/>
    <mergeCell ref="I160:K160"/>
    <mergeCell ref="I161:K161"/>
    <mergeCell ref="I162:K162"/>
    <mergeCell ref="I163:K163"/>
    <mergeCell ref="I164:K164"/>
    <mergeCell ref="I155:K155"/>
    <mergeCell ref="I156:K156"/>
    <mergeCell ref="I157:K157"/>
    <mergeCell ref="I158:K158"/>
    <mergeCell ref="I159:K159"/>
    <mergeCell ref="I150:K150"/>
    <mergeCell ref="I151:K151"/>
    <mergeCell ref="I152:K152"/>
    <mergeCell ref="I153:K153"/>
    <mergeCell ref="I154:K154"/>
    <mergeCell ref="I145:K145"/>
    <mergeCell ref="I146:K146"/>
    <mergeCell ref="I147:K147"/>
    <mergeCell ref="I148:K148"/>
    <mergeCell ref="I149:K149"/>
    <mergeCell ref="I140:K140"/>
    <mergeCell ref="I141:K141"/>
    <mergeCell ref="I142:K142"/>
    <mergeCell ref="I143:K143"/>
    <mergeCell ref="I144:K144"/>
    <mergeCell ref="I135:K135"/>
    <mergeCell ref="I136:K136"/>
    <mergeCell ref="I137:K137"/>
    <mergeCell ref="I138:K138"/>
    <mergeCell ref="I139:K139"/>
    <mergeCell ref="I130:K130"/>
    <mergeCell ref="I131:K131"/>
    <mergeCell ref="I132:K132"/>
    <mergeCell ref="I133:K133"/>
    <mergeCell ref="I134:K134"/>
    <mergeCell ref="I125:K125"/>
    <mergeCell ref="I126:K126"/>
    <mergeCell ref="I127:K127"/>
    <mergeCell ref="I128:K128"/>
    <mergeCell ref="I129:K129"/>
    <mergeCell ref="I120:K120"/>
    <mergeCell ref="I121:K121"/>
    <mergeCell ref="I122:K122"/>
    <mergeCell ref="I123:K123"/>
    <mergeCell ref="I124:K124"/>
    <mergeCell ref="I115:K115"/>
    <mergeCell ref="I116:K116"/>
    <mergeCell ref="I117:K117"/>
    <mergeCell ref="I118:K118"/>
    <mergeCell ref="I119:K119"/>
    <mergeCell ref="I110:K110"/>
    <mergeCell ref="I111:K111"/>
    <mergeCell ref="I112:K112"/>
    <mergeCell ref="I113:K113"/>
    <mergeCell ref="I114:K114"/>
    <mergeCell ref="I105:K105"/>
    <mergeCell ref="I106:K106"/>
    <mergeCell ref="I107:K107"/>
    <mergeCell ref="I108:K108"/>
    <mergeCell ref="I109:K109"/>
    <mergeCell ref="I100:K100"/>
    <mergeCell ref="I101:K101"/>
    <mergeCell ref="I102:K102"/>
    <mergeCell ref="I103:K103"/>
    <mergeCell ref="I104:K104"/>
    <mergeCell ref="I95:K95"/>
    <mergeCell ref="I96:K96"/>
    <mergeCell ref="I97:K97"/>
    <mergeCell ref="I98:K98"/>
    <mergeCell ref="I99:K99"/>
    <mergeCell ref="I90:K90"/>
    <mergeCell ref="I91:K91"/>
    <mergeCell ref="I92:K92"/>
    <mergeCell ref="I93:K93"/>
    <mergeCell ref="I94:K94"/>
    <mergeCell ref="I85:K85"/>
    <mergeCell ref="I86:K86"/>
    <mergeCell ref="I87:K87"/>
    <mergeCell ref="I88:K88"/>
    <mergeCell ref="I89:K89"/>
    <mergeCell ref="I80:K80"/>
    <mergeCell ref="I81:K81"/>
    <mergeCell ref="I82:K82"/>
    <mergeCell ref="I83:K83"/>
    <mergeCell ref="I84:K84"/>
    <mergeCell ref="I75:K75"/>
    <mergeCell ref="I76:K76"/>
    <mergeCell ref="I77:K77"/>
    <mergeCell ref="I78:K78"/>
    <mergeCell ref="I79:K79"/>
    <mergeCell ref="I70:K70"/>
    <mergeCell ref="I71:K71"/>
    <mergeCell ref="I72:K72"/>
    <mergeCell ref="I73:K73"/>
    <mergeCell ref="I74:K74"/>
    <mergeCell ref="I65:K65"/>
    <mergeCell ref="I66:K66"/>
    <mergeCell ref="I67:K67"/>
    <mergeCell ref="I68:K68"/>
    <mergeCell ref="I69:K69"/>
    <mergeCell ref="I60:K60"/>
    <mergeCell ref="I61:K61"/>
    <mergeCell ref="I62:K62"/>
    <mergeCell ref="I63:K63"/>
    <mergeCell ref="I64:K64"/>
    <mergeCell ref="I55:K55"/>
    <mergeCell ref="I56:K56"/>
    <mergeCell ref="I57:K57"/>
    <mergeCell ref="I58:K58"/>
    <mergeCell ref="I59:K59"/>
    <mergeCell ref="I14:K14"/>
    <mergeCell ref="I52:K52"/>
    <mergeCell ref="I53:K53"/>
    <mergeCell ref="G13:H13"/>
    <mergeCell ref="I54:K54"/>
    <mergeCell ref="A1:K1"/>
    <mergeCell ref="I12:K12"/>
    <mergeCell ref="I13:K13"/>
    <mergeCell ref="G12:H12"/>
    <mergeCell ref="E12:F12"/>
    <mergeCell ref="C12:D12"/>
    <mergeCell ref="C13:D13"/>
    <mergeCell ref="A10:K10"/>
    <mergeCell ref="A11:K11"/>
  </mergeCells>
  <conditionalFormatting sqref="E2:E4 E13:E14 E53:E65573">
    <cfRule type="cellIs" dxfId="20" priority="22" stopIfTrue="1" operator="equal">
      <formula>"NFIT"</formula>
    </cfRule>
  </conditionalFormatting>
  <conditionalFormatting sqref="C2">
    <cfRule type="cellIs" dxfId="19" priority="21" stopIfTrue="1" operator="equal">
      <formula>"NFIT"</formula>
    </cfRule>
  </conditionalFormatting>
  <conditionalFormatting sqref="E15:E16">
    <cfRule type="cellIs" dxfId="18" priority="19" stopIfTrue="1" operator="equal">
      <formula>"NFIT"</formula>
    </cfRule>
  </conditionalFormatting>
  <conditionalFormatting sqref="E17:E18">
    <cfRule type="cellIs" dxfId="17" priority="18" stopIfTrue="1" operator="equal">
      <formula>"NFIT"</formula>
    </cfRule>
  </conditionalFormatting>
  <conditionalFormatting sqref="E19:E20">
    <cfRule type="cellIs" dxfId="16" priority="17" stopIfTrue="1" operator="equal">
      <formula>"NFIT"</formula>
    </cfRule>
  </conditionalFormatting>
  <conditionalFormatting sqref="E21:E22">
    <cfRule type="cellIs" dxfId="15" priority="16" stopIfTrue="1" operator="equal">
      <formula>"NFIT"</formula>
    </cfRule>
  </conditionalFormatting>
  <conditionalFormatting sqref="E23:E24">
    <cfRule type="cellIs" dxfId="14" priority="15" stopIfTrue="1" operator="equal">
      <formula>"NFIT"</formula>
    </cfRule>
  </conditionalFormatting>
  <conditionalFormatting sqref="E25:E26">
    <cfRule type="cellIs" dxfId="13" priority="14" stopIfTrue="1" operator="equal">
      <formula>"NFIT"</formula>
    </cfRule>
  </conditionalFormatting>
  <conditionalFormatting sqref="E27:E28">
    <cfRule type="cellIs" dxfId="12" priority="13" stopIfTrue="1" operator="equal">
      <formula>"NFIT"</formula>
    </cfRule>
  </conditionalFormatting>
  <conditionalFormatting sqref="E29:E30">
    <cfRule type="cellIs" dxfId="11" priority="12" stopIfTrue="1" operator="equal">
      <formula>"NFIT"</formula>
    </cfRule>
  </conditionalFormatting>
  <conditionalFormatting sqref="E31:E32">
    <cfRule type="cellIs" dxfId="10" priority="11" stopIfTrue="1" operator="equal">
      <formula>"NFIT"</formula>
    </cfRule>
  </conditionalFormatting>
  <conditionalFormatting sqref="E33:E34">
    <cfRule type="cellIs" dxfId="9" priority="10" stopIfTrue="1" operator="equal">
      <formula>"NFIT"</formula>
    </cfRule>
  </conditionalFormatting>
  <conditionalFormatting sqref="E35:E36">
    <cfRule type="cellIs" dxfId="8" priority="9" stopIfTrue="1" operator="equal">
      <formula>"NFIT"</formula>
    </cfRule>
  </conditionalFormatting>
  <conditionalFormatting sqref="E37:E38">
    <cfRule type="cellIs" dxfId="7" priority="8" stopIfTrue="1" operator="equal">
      <formula>"NFIT"</formula>
    </cfRule>
  </conditionalFormatting>
  <conditionalFormatting sqref="E39:E40">
    <cfRule type="cellIs" dxfId="6" priority="7" stopIfTrue="1" operator="equal">
      <formula>"NFIT"</formula>
    </cfRule>
  </conditionalFormatting>
  <conditionalFormatting sqref="E41:E42">
    <cfRule type="cellIs" dxfId="5" priority="6" stopIfTrue="1" operator="equal">
      <formula>"NFIT"</formula>
    </cfRule>
  </conditionalFormatting>
  <conditionalFormatting sqref="E43:E44">
    <cfRule type="cellIs" dxfId="4" priority="5" stopIfTrue="1" operator="equal">
      <formula>"NFIT"</formula>
    </cfRule>
  </conditionalFormatting>
  <conditionalFormatting sqref="E45:E46">
    <cfRule type="cellIs" dxfId="3" priority="4" stopIfTrue="1" operator="equal">
      <formula>"NFIT"</formula>
    </cfRule>
  </conditionalFormatting>
  <conditionalFormatting sqref="E47:E48">
    <cfRule type="cellIs" dxfId="2" priority="3" stopIfTrue="1" operator="equal">
      <formula>"NFIT"</formula>
    </cfRule>
  </conditionalFormatting>
  <conditionalFormatting sqref="E49:E50">
    <cfRule type="cellIs" dxfId="1" priority="2" stopIfTrue="1" operator="equal">
      <formula>"NFIT"</formula>
    </cfRule>
  </conditionalFormatting>
  <conditionalFormatting sqref="E51:E52">
    <cfRule type="cellIs" dxfId="0" priority="1" stopIfTrue="1" operator="equal">
      <formula>"NFIT"</formula>
    </cfRule>
  </conditionalFormatting>
  <pageMargins left="0.74803149606299213" right="0.74803149606299213" top="0.98425196850393704" bottom="0.98425196850393704" header="0.51181102362204722" footer="0.51181102362204722"/>
  <pageSetup paperSize="9" scale="67" fitToHeight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46"/>
  <sheetViews>
    <sheetView view="pageLayout" zoomScale="115" zoomScaleNormal="100" zoomScalePageLayoutView="115" workbookViewId="0">
      <selection activeCell="B2" sqref="B2:D2"/>
    </sheetView>
  </sheetViews>
  <sheetFormatPr defaultColWidth="9.21875" defaultRowHeight="14.4" x14ac:dyDescent="0.3"/>
  <cols>
    <col min="1" max="1" width="18.77734375" style="22" customWidth="1"/>
    <col min="2" max="2" width="18.21875" style="21" customWidth="1"/>
    <col min="3" max="3" width="23.21875" style="21" customWidth="1"/>
    <col min="4" max="4" width="26.44140625" style="21" customWidth="1"/>
    <col min="5" max="16384" width="9.21875" style="21"/>
  </cols>
  <sheetData>
    <row r="1" spans="1:4" x14ac:dyDescent="0.3">
      <c r="A1" s="28" t="s">
        <v>61</v>
      </c>
      <c r="B1" s="21" t="str">
        <f>BOM!$B$5</f>
        <v>1-2-HAR-A-</v>
      </c>
      <c r="C1" s="28" t="s">
        <v>60</v>
      </c>
      <c r="D1" s="21" t="str">
        <f>BOM!$B$8</f>
        <v>9/20/2024</v>
      </c>
    </row>
    <row r="2" spans="1:4" x14ac:dyDescent="0.3">
      <c r="A2" s="28" t="s">
        <v>89</v>
      </c>
      <c r="B2" s="120"/>
      <c r="C2" s="115"/>
      <c r="D2" s="115"/>
    </row>
    <row r="3" spans="1:4" x14ac:dyDescent="0.3">
      <c r="A3" s="28" t="s">
        <v>59</v>
      </c>
      <c r="B3" s="121"/>
      <c r="C3" s="115"/>
      <c r="D3" s="115"/>
    </row>
    <row r="4" spans="1:4" x14ac:dyDescent="0.3">
      <c r="A4" s="116"/>
      <c r="B4" s="116"/>
      <c r="C4" s="116"/>
      <c r="D4" s="116"/>
    </row>
    <row r="5" spans="1:4" x14ac:dyDescent="0.3">
      <c r="A5" s="117"/>
      <c r="B5" s="117"/>
      <c r="C5" s="27"/>
      <c r="D5" s="26" t="s">
        <v>58</v>
      </c>
    </row>
    <row r="6" spans="1:4" x14ac:dyDescent="0.3">
      <c r="A6" s="118" t="s">
        <v>57</v>
      </c>
      <c r="B6" s="119"/>
      <c r="C6" s="50">
        <v>2</v>
      </c>
      <c r="D6" s="24" t="s">
        <v>29</v>
      </c>
    </row>
    <row r="7" spans="1:4" x14ac:dyDescent="0.3">
      <c r="A7" s="118" t="s">
        <v>56</v>
      </c>
      <c r="B7" s="119"/>
      <c r="C7" s="93" t="s">
        <v>94</v>
      </c>
      <c r="D7" s="50" t="s">
        <v>46</v>
      </c>
    </row>
    <row r="8" spans="1:4" x14ac:dyDescent="0.3">
      <c r="A8" s="118" t="s">
        <v>55</v>
      </c>
      <c r="B8" s="119"/>
      <c r="C8" s="50" t="s">
        <v>54</v>
      </c>
      <c r="D8" s="24" t="s">
        <v>29</v>
      </c>
    </row>
    <row r="9" spans="1:4" x14ac:dyDescent="0.3">
      <c r="A9" s="25"/>
      <c r="B9" s="25" t="s">
        <v>53</v>
      </c>
      <c r="C9" s="50">
        <v>1.6</v>
      </c>
      <c r="D9" s="50" t="s">
        <v>46</v>
      </c>
    </row>
    <row r="10" spans="1:4" x14ac:dyDescent="0.3">
      <c r="A10" s="118" t="s">
        <v>52</v>
      </c>
      <c r="B10" s="119"/>
      <c r="C10" s="50">
        <v>0.15</v>
      </c>
      <c r="D10" s="50" t="s">
        <v>46</v>
      </c>
    </row>
    <row r="11" spans="1:4" x14ac:dyDescent="0.3">
      <c r="A11" s="122" t="s">
        <v>93</v>
      </c>
      <c r="B11" s="123"/>
      <c r="C11" s="50">
        <v>0.15</v>
      </c>
      <c r="D11" s="50" t="s">
        <v>46</v>
      </c>
    </row>
    <row r="12" spans="1:4" x14ac:dyDescent="0.3">
      <c r="A12" s="118" t="s">
        <v>50</v>
      </c>
      <c r="B12" s="119"/>
      <c r="C12" s="50">
        <v>0.3</v>
      </c>
      <c r="D12" s="50" t="s">
        <v>46</v>
      </c>
    </row>
    <row r="13" spans="1:4" x14ac:dyDescent="0.3">
      <c r="A13" s="118" t="s">
        <v>49</v>
      </c>
      <c r="B13" s="119"/>
      <c r="C13" s="24">
        <v>0.254</v>
      </c>
      <c r="D13" s="50" t="s">
        <v>46</v>
      </c>
    </row>
    <row r="14" spans="1:4" x14ac:dyDescent="0.3">
      <c r="A14" s="118" t="s">
        <v>48</v>
      </c>
      <c r="B14" s="119"/>
      <c r="C14" s="92" t="s">
        <v>29</v>
      </c>
      <c r="D14" s="50" t="s">
        <v>46</v>
      </c>
    </row>
    <row r="15" spans="1:4" x14ac:dyDescent="0.3">
      <c r="A15" s="118" t="s">
        <v>47</v>
      </c>
      <c r="B15" s="119"/>
      <c r="C15" s="92" t="s">
        <v>29</v>
      </c>
      <c r="D15" s="50" t="s">
        <v>46</v>
      </c>
    </row>
    <row r="16" spans="1:4" x14ac:dyDescent="0.3">
      <c r="A16" s="118" t="s">
        <v>45</v>
      </c>
      <c r="B16" s="119"/>
      <c r="C16" s="50" t="s">
        <v>44</v>
      </c>
      <c r="D16" s="24" t="s">
        <v>29</v>
      </c>
    </row>
    <row r="17" spans="1:4" x14ac:dyDescent="0.3">
      <c r="A17" s="118" t="s">
        <v>43</v>
      </c>
      <c r="B17" s="119"/>
      <c r="C17" s="50">
        <v>2</v>
      </c>
      <c r="D17" s="24" t="s">
        <v>37</v>
      </c>
    </row>
    <row r="18" spans="1:4" x14ac:dyDescent="0.3">
      <c r="A18" s="118" t="s">
        <v>42</v>
      </c>
      <c r="B18" s="119"/>
      <c r="C18" s="50" t="s">
        <v>41</v>
      </c>
      <c r="D18" s="24" t="s">
        <v>29</v>
      </c>
    </row>
    <row r="19" spans="1:4" x14ac:dyDescent="0.3">
      <c r="A19" s="118" t="s">
        <v>40</v>
      </c>
      <c r="B19" s="119"/>
      <c r="C19" s="50" t="s">
        <v>39</v>
      </c>
      <c r="D19" s="24" t="s">
        <v>29</v>
      </c>
    </row>
    <row r="20" spans="1:4" x14ac:dyDescent="0.3">
      <c r="A20" s="118" t="s">
        <v>38</v>
      </c>
      <c r="B20" s="119"/>
      <c r="C20" s="50">
        <v>2</v>
      </c>
      <c r="D20" s="24" t="s">
        <v>37</v>
      </c>
    </row>
    <row r="21" spans="1:4" x14ac:dyDescent="0.3">
      <c r="A21" s="118" t="s">
        <v>36</v>
      </c>
      <c r="B21" s="119"/>
      <c r="C21" s="50">
        <v>1</v>
      </c>
      <c r="D21" s="24" t="s">
        <v>34</v>
      </c>
    </row>
    <row r="22" spans="1:4" x14ac:dyDescent="0.3">
      <c r="A22" s="118" t="s">
        <v>35</v>
      </c>
      <c r="B22" s="119"/>
      <c r="C22" s="50">
        <v>1</v>
      </c>
      <c r="D22" s="24" t="s">
        <v>34</v>
      </c>
    </row>
    <row r="23" spans="1:4" x14ac:dyDescent="0.3">
      <c r="A23" s="118" t="s">
        <v>33</v>
      </c>
      <c r="B23" s="119"/>
      <c r="C23" s="50" t="s">
        <v>32</v>
      </c>
      <c r="D23" s="24" t="s">
        <v>29</v>
      </c>
    </row>
    <row r="24" spans="1:4" x14ac:dyDescent="0.3">
      <c r="A24" s="118" t="s">
        <v>31</v>
      </c>
      <c r="B24" s="119"/>
      <c r="C24" s="50" t="s">
        <v>30</v>
      </c>
      <c r="D24" s="24" t="s">
        <v>29</v>
      </c>
    </row>
    <row r="25" spans="1:4" x14ac:dyDescent="0.3">
      <c r="A25" s="125"/>
      <c r="B25" s="126"/>
      <c r="C25" s="126"/>
      <c r="D25" s="127"/>
    </row>
    <row r="26" spans="1:4" x14ac:dyDescent="0.3">
      <c r="A26" s="134" t="s">
        <v>28</v>
      </c>
      <c r="B26" s="129"/>
      <c r="C26" s="129"/>
      <c r="D26" s="130"/>
    </row>
    <row r="27" spans="1:4" x14ac:dyDescent="0.3">
      <c r="A27" s="135" t="s">
        <v>27</v>
      </c>
      <c r="B27" s="135"/>
      <c r="C27" s="135"/>
      <c r="D27" s="135"/>
    </row>
    <row r="28" spans="1:4" x14ac:dyDescent="0.3">
      <c r="A28" s="135"/>
      <c r="B28" s="115"/>
      <c r="C28" s="115"/>
      <c r="D28" s="115"/>
    </row>
    <row r="29" spans="1:4" x14ac:dyDescent="0.3">
      <c r="A29" s="115"/>
      <c r="B29" s="115"/>
      <c r="C29" s="115"/>
      <c r="D29" s="115"/>
    </row>
    <row r="30" spans="1:4" x14ac:dyDescent="0.3">
      <c r="A30" s="115"/>
      <c r="B30" s="115"/>
      <c r="C30" s="115"/>
      <c r="D30" s="115"/>
    </row>
    <row r="31" spans="1:4" x14ac:dyDescent="0.3">
      <c r="A31" s="115"/>
      <c r="B31" s="115"/>
      <c r="C31" s="115"/>
      <c r="D31" s="115"/>
    </row>
    <row r="32" spans="1:4" x14ac:dyDescent="0.3">
      <c r="A32" s="115"/>
      <c r="B32" s="115"/>
      <c r="C32" s="115"/>
      <c r="D32" s="115"/>
    </row>
    <row r="33" spans="1:4" x14ac:dyDescent="0.3">
      <c r="A33" s="128" t="s">
        <v>26</v>
      </c>
      <c r="B33" s="129"/>
      <c r="C33" s="129"/>
      <c r="D33" s="130"/>
    </row>
    <row r="34" spans="1:4" x14ac:dyDescent="0.3">
      <c r="A34" s="23" t="s">
        <v>25</v>
      </c>
      <c r="B34" s="115" t="s">
        <v>24</v>
      </c>
      <c r="C34" s="115"/>
      <c r="D34" s="115"/>
    </row>
    <row r="35" spans="1:4" x14ac:dyDescent="0.3">
      <c r="A35" s="23"/>
      <c r="B35" s="115" t="s">
        <v>23</v>
      </c>
      <c r="C35" s="115"/>
      <c r="D35" s="115"/>
    </row>
    <row r="36" spans="1:4" x14ac:dyDescent="0.3">
      <c r="A36" s="23"/>
      <c r="B36" s="115" t="s">
        <v>22</v>
      </c>
      <c r="C36" s="115"/>
      <c r="D36" s="115"/>
    </row>
    <row r="37" spans="1:4" x14ac:dyDescent="0.3">
      <c r="A37" s="23"/>
      <c r="B37" s="115" t="s">
        <v>21</v>
      </c>
      <c r="C37" s="115"/>
      <c r="D37" s="115"/>
    </row>
    <row r="38" spans="1:4" x14ac:dyDescent="0.3">
      <c r="A38" s="23"/>
      <c r="B38" s="115" t="s">
        <v>20</v>
      </c>
      <c r="C38" s="115"/>
      <c r="D38" s="115"/>
    </row>
    <row r="39" spans="1:4" x14ac:dyDescent="0.3">
      <c r="A39" s="131"/>
      <c r="B39" s="132"/>
      <c r="C39" s="132"/>
      <c r="D39" s="133"/>
    </row>
    <row r="40" spans="1:4" x14ac:dyDescent="0.3">
      <c r="A40" s="23" t="s">
        <v>19</v>
      </c>
      <c r="B40" s="115" t="s">
        <v>18</v>
      </c>
      <c r="C40" s="115"/>
      <c r="D40" s="115"/>
    </row>
    <row r="41" spans="1:4" x14ac:dyDescent="0.3">
      <c r="A41" s="124"/>
      <c r="B41" s="115"/>
      <c r="C41" s="115"/>
      <c r="D41" s="115"/>
    </row>
    <row r="42" spans="1:4" x14ac:dyDescent="0.3">
      <c r="A42" s="23" t="s">
        <v>17</v>
      </c>
      <c r="B42" s="115" t="s">
        <v>16</v>
      </c>
      <c r="C42" s="115"/>
      <c r="D42" s="115"/>
    </row>
    <row r="43" spans="1:4" x14ac:dyDescent="0.3">
      <c r="A43" s="21"/>
      <c r="B43" s="115" t="s">
        <v>15</v>
      </c>
      <c r="C43" s="115"/>
      <c r="D43" s="115"/>
    </row>
    <row r="44" spans="1:4" x14ac:dyDescent="0.3">
      <c r="A44" s="21"/>
      <c r="B44" s="115"/>
      <c r="C44" s="115"/>
      <c r="D44" s="115"/>
    </row>
    <row r="45" spans="1:4" x14ac:dyDescent="0.3">
      <c r="B45" s="115"/>
      <c r="C45" s="115"/>
      <c r="D45" s="115"/>
    </row>
    <row r="46" spans="1:4" x14ac:dyDescent="0.3">
      <c r="A46" s="21"/>
    </row>
  </sheetData>
  <mergeCells count="40">
    <mergeCell ref="A41:D41"/>
    <mergeCell ref="B42:D42"/>
    <mergeCell ref="A24:B24"/>
    <mergeCell ref="A25:D25"/>
    <mergeCell ref="A18:B18"/>
    <mergeCell ref="A33:D33"/>
    <mergeCell ref="A20:B20"/>
    <mergeCell ref="B38:D38"/>
    <mergeCell ref="A39:D39"/>
    <mergeCell ref="B37:D37"/>
    <mergeCell ref="A26:D26"/>
    <mergeCell ref="B40:D40"/>
    <mergeCell ref="A28:D31"/>
    <mergeCell ref="A27:D27"/>
    <mergeCell ref="A32:D32"/>
    <mergeCell ref="B2:D2"/>
    <mergeCell ref="B3:D3"/>
    <mergeCell ref="A15:B15"/>
    <mergeCell ref="A16:B16"/>
    <mergeCell ref="A17:B17"/>
    <mergeCell ref="A11:B11"/>
    <mergeCell ref="A12:B12"/>
    <mergeCell ref="A13:B13"/>
    <mergeCell ref="A14:B14"/>
    <mergeCell ref="B45:D45"/>
    <mergeCell ref="A4:D4"/>
    <mergeCell ref="A5:B5"/>
    <mergeCell ref="A6:B6"/>
    <mergeCell ref="A7:B7"/>
    <mergeCell ref="A8:B8"/>
    <mergeCell ref="A10:B10"/>
    <mergeCell ref="A21:B21"/>
    <mergeCell ref="A23:B23"/>
    <mergeCell ref="A19:B19"/>
    <mergeCell ref="A22:B22"/>
    <mergeCell ref="B43:D43"/>
    <mergeCell ref="B44:D44"/>
    <mergeCell ref="B34:D34"/>
    <mergeCell ref="B35:D35"/>
    <mergeCell ref="B36:D36"/>
  </mergeCells>
  <pageMargins left="0.70866141732283472" right="0.70866141732283472" top="0.74803149606299213" bottom="1.1023622047244095" header="0.31496062992125984" footer="0.31496062992125984"/>
  <pageSetup paperSize="9" orientation="portrait" r:id="rId1"/>
  <headerFooter>
    <oddHeader>&amp;C&amp;"-,Bold"&amp;16Printed Circuit Board Specification</oddHeader>
    <oddFooter>&amp;C&amp;"-,Bold" Altos Engineers Pvt. Ltd is
Plot No 34, Pace City I, Sector 37, Gurugram, Haryana 122001, India</oddFooter>
  </headerFooter>
  <rowBreaks count="1" manualBreakCount="1">
    <brk id="45" max="16383" man="1"/>
  </rowBreak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 prompt="choose from list">
          <x14:formula1>
            <xm:f>'SPEC options'!$B$18:$F$18</xm:f>
          </x14:formula1>
          <xm:sqref>C23</xm:sqref>
        </x14:dataValidation>
        <x14:dataValidation type="list" allowBlank="1" showInputMessage="1" showErrorMessage="1" prompt="choose from list">
          <x14:formula1>
            <xm:f>'SPEC options'!$B$14:$D$14</xm:f>
          </x14:formula1>
          <xm:sqref>C19</xm:sqref>
        </x14:dataValidation>
        <x14:dataValidation type="list" allowBlank="1" showInputMessage="1" showErrorMessage="1" prompt="choose from list">
          <x14:formula1>
            <xm:f>'SPEC options'!$B$13</xm:f>
          </x14:formula1>
          <xm:sqref>C18</xm:sqref>
        </x14:dataValidation>
        <x14:dataValidation type="list" allowBlank="1" showInputMessage="1" showErrorMessage="1" prompt="choose from list">
          <x14:formula1>
            <xm:f>'SPEC options'!$B$17:$D$17</xm:f>
          </x14:formula1>
          <xm:sqref>C22</xm:sqref>
        </x14:dataValidation>
        <x14:dataValidation type="list" allowBlank="1" showInputMessage="1" showErrorMessage="1" prompt="choose from list">
          <x14:formula1>
            <xm:f>'SPEC options'!$B$16:$D$16</xm:f>
          </x14:formula1>
          <xm:sqref>C21</xm:sqref>
        </x14:dataValidation>
        <x14:dataValidation type="list" allowBlank="1" showInputMessage="1" showErrorMessage="1" prompt="choose from list">
          <x14:formula1>
            <xm:f>'SPEC options'!$B$15:$C$15</xm:f>
          </x14:formula1>
          <xm:sqref>C20</xm:sqref>
        </x14:dataValidation>
        <x14:dataValidation type="list" allowBlank="1" showInputMessage="1" showErrorMessage="1" prompt="choose from list">
          <x14:formula1>
            <xm:f>'SPEC options'!$B$12:$C$12</xm:f>
          </x14:formula1>
          <xm:sqref>C17</xm:sqref>
        </x14:dataValidation>
        <x14:dataValidation type="list" allowBlank="1" showInputMessage="1" showErrorMessage="1" prompt="choose from list">
          <x14:formula1>
            <xm:f>'SPEC options'!$B$11:$F$11</xm:f>
          </x14:formula1>
          <xm:sqref>C16</xm:sqref>
        </x14:dataValidation>
        <x14:dataValidation type="list" allowBlank="1" showInputMessage="1" showErrorMessage="1" prompt="choose from list">
          <x14:formula1>
            <xm:f>'SPEC options'!$B$7:$F$7</xm:f>
          </x14:formula1>
          <xm:sqref>C12</xm:sqref>
        </x14:dataValidation>
        <x14:dataValidation type="list" allowBlank="1" showInputMessage="1" showErrorMessage="1" prompt="choose from list">
          <x14:formula1>
            <xm:f>'SPEC options'!$B$5:$C$5</xm:f>
          </x14:formula1>
          <xm:sqref>C10</xm:sqref>
        </x14:dataValidation>
        <x14:dataValidation type="list" allowBlank="1" showInputMessage="1" showErrorMessage="1" prompt="choose from list">
          <x14:formula1>
            <xm:f>'SPEC options'!$B$4:$C$4</xm:f>
          </x14:formula1>
          <xm:sqref>C9</xm:sqref>
        </x14:dataValidation>
        <x14:dataValidation type="list" allowBlank="1" showInputMessage="1" showErrorMessage="1" prompt="choose from list">
          <x14:formula1>
            <xm:f>'SPEC options'!$B$3:$D$3</xm:f>
          </x14:formula1>
          <xm:sqref>C8</xm:sqref>
        </x14:dataValidation>
        <x14:dataValidation type="list" allowBlank="1" showInputMessage="1" showErrorMessage="1" prompt="choose from list">
          <x14:formula1>
            <xm:f>'SPEC options'!$B$19:$C$19</xm:f>
          </x14:formula1>
          <xm:sqref>C24</xm:sqref>
        </x14:dataValidation>
        <x14:dataValidation type="list" allowBlank="1" showInputMessage="1" showErrorMessage="1" prompt="choose from list">
          <x14:formula1>
            <xm:f>'SPEC options'!$B$20:$C$20</xm:f>
          </x14:formula1>
          <xm:sqref>D7 D9:D15</xm:sqref>
        </x14:dataValidation>
        <x14:dataValidation type="list" allowBlank="1" showInputMessage="1" showErrorMessage="1" prompt="choose from list">
          <x14:formula1>
            <xm:f>'SPEC options'!$B$2:$H$2</xm:f>
          </x14:formula1>
          <xm:sqref>C6</xm:sqref>
        </x14:dataValidation>
        <x14:dataValidation type="list" allowBlank="1" showInputMessage="1" showErrorMessage="1" prompt="choose from list">
          <x14:formula1>
            <xm:f>'SPEC options'!$B$6:$H$6</xm:f>
          </x14:formula1>
          <xm:sqref>C11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2"/>
  <sheetViews>
    <sheetView view="pageLayout" zoomScale="55" zoomScaleNormal="115" zoomScalePageLayoutView="55" workbookViewId="0">
      <selection activeCell="E7" sqref="E7:H7"/>
    </sheetView>
  </sheetViews>
  <sheetFormatPr defaultColWidth="11.5546875" defaultRowHeight="13.2" x14ac:dyDescent="0.25"/>
  <cols>
    <col min="1" max="1" width="2.21875" style="34" customWidth="1"/>
    <col min="2" max="2" width="23.21875" style="34" customWidth="1"/>
    <col min="3" max="3" width="3.77734375" style="34" customWidth="1"/>
    <col min="4" max="4" width="19.44140625" style="34" customWidth="1"/>
    <col min="5" max="5" width="23.21875" style="34" customWidth="1"/>
    <col min="6" max="6" width="12.5546875" style="34" customWidth="1"/>
    <col min="7" max="7" width="14.21875" style="34" customWidth="1"/>
    <col min="8" max="8" width="23.21875" style="34" customWidth="1"/>
    <col min="9" max="9" width="20.77734375" style="34" customWidth="1"/>
    <col min="10" max="10" width="2.21875" style="34" customWidth="1"/>
    <col min="11" max="16384" width="11.5546875" style="34"/>
  </cols>
  <sheetData>
    <row r="1" spans="1:10" ht="13.05" customHeight="1" x14ac:dyDescent="0.25">
      <c r="A1" s="37"/>
      <c r="B1" s="36" t="s">
        <v>82</v>
      </c>
      <c r="C1" s="138" t="s">
        <v>81</v>
      </c>
      <c r="D1" s="138"/>
      <c r="E1" s="36" t="s">
        <v>80</v>
      </c>
      <c r="F1" s="36"/>
      <c r="G1" s="36" t="s">
        <v>79</v>
      </c>
      <c r="H1" s="36" t="s">
        <v>78</v>
      </c>
      <c r="I1" s="49" t="s">
        <v>77</v>
      </c>
      <c r="J1" s="37"/>
    </row>
    <row r="2" spans="1:10" ht="13.05" customHeight="1" x14ac:dyDescent="0.25">
      <c r="A2" s="45"/>
      <c r="B2" s="47"/>
      <c r="C2" s="48"/>
      <c r="D2" s="47"/>
      <c r="E2" s="47"/>
      <c r="F2" s="47"/>
      <c r="G2" s="47"/>
      <c r="H2" s="47"/>
      <c r="I2" s="46"/>
      <c r="J2" s="45"/>
    </row>
    <row r="3" spans="1:10" ht="120.3" customHeight="1" x14ac:dyDescent="0.25">
      <c r="A3" s="43">
        <v>4</v>
      </c>
      <c r="C3" s="41"/>
      <c r="D3" s="40"/>
      <c r="E3" s="44" t="s">
        <v>88</v>
      </c>
      <c r="F3" s="44"/>
      <c r="I3" s="39"/>
      <c r="J3" s="43">
        <v>4</v>
      </c>
    </row>
    <row r="4" spans="1:10" ht="133.19999999999999" customHeight="1" x14ac:dyDescent="0.25">
      <c r="A4" s="42">
        <v>3</v>
      </c>
      <c r="C4" s="41"/>
      <c r="D4" s="40"/>
      <c r="I4" s="39"/>
      <c r="J4" s="42">
        <v>3</v>
      </c>
    </row>
    <row r="5" spans="1:10" ht="133.19999999999999" customHeight="1" x14ac:dyDescent="0.25">
      <c r="A5" s="42">
        <v>2</v>
      </c>
      <c r="C5" s="41"/>
      <c r="D5" s="40"/>
      <c r="I5" s="39"/>
      <c r="J5" s="42">
        <v>2</v>
      </c>
    </row>
    <row r="6" spans="1:10" ht="43.2" customHeight="1" x14ac:dyDescent="0.25">
      <c r="A6" s="138">
        <v>1</v>
      </c>
      <c r="C6" s="41"/>
      <c r="D6" s="40"/>
      <c r="I6" s="39"/>
      <c r="J6" s="138">
        <v>1</v>
      </c>
    </row>
    <row r="7" spans="1:10" ht="18" customHeight="1" x14ac:dyDescent="0.25">
      <c r="A7" s="138"/>
      <c r="B7" s="140"/>
      <c r="C7" s="141" t="s">
        <v>87</v>
      </c>
      <c r="D7" s="38" t="s">
        <v>91</v>
      </c>
      <c r="E7" s="143"/>
      <c r="F7" s="143"/>
      <c r="G7" s="143"/>
      <c r="H7" s="143"/>
      <c r="I7" s="144" t="s">
        <v>96</v>
      </c>
      <c r="J7" s="138"/>
    </row>
    <row r="8" spans="1:10" ht="18" customHeight="1" x14ac:dyDescent="0.25">
      <c r="A8" s="138"/>
      <c r="B8" s="140"/>
      <c r="C8" s="141"/>
      <c r="D8" s="38" t="s">
        <v>84</v>
      </c>
      <c r="E8" s="146" t="str">
        <f>BOM!$B$5</f>
        <v>1-2-HAR-A-</v>
      </c>
      <c r="F8" s="147"/>
      <c r="G8" s="147"/>
      <c r="H8" s="148"/>
      <c r="I8" s="144"/>
      <c r="J8" s="138"/>
    </row>
    <row r="9" spans="1:10" ht="18" customHeight="1" x14ac:dyDescent="0.25">
      <c r="A9" s="138"/>
      <c r="B9" s="140"/>
      <c r="C9" s="141"/>
      <c r="D9" s="38" t="s">
        <v>86</v>
      </c>
      <c r="E9" s="146" t="str">
        <f>BOM!$B$9</f>
        <v>Varun</v>
      </c>
      <c r="F9" s="147"/>
      <c r="G9" s="149"/>
      <c r="H9" s="150"/>
      <c r="I9" s="144"/>
      <c r="J9" s="138"/>
    </row>
    <row r="10" spans="1:10" ht="18" customHeight="1" x14ac:dyDescent="0.25">
      <c r="A10" s="138"/>
      <c r="B10" s="140"/>
      <c r="C10" s="141"/>
      <c r="D10" s="51" t="s">
        <v>85</v>
      </c>
      <c r="E10" s="151" t="str">
        <f>BOM!$B$8</f>
        <v>9/20/2024</v>
      </c>
      <c r="F10" s="149"/>
      <c r="G10" s="52" t="s">
        <v>83</v>
      </c>
      <c r="H10" s="53" t="str">
        <f>BOM!$B$7</f>
        <v>A-</v>
      </c>
      <c r="I10" s="145"/>
      <c r="J10" s="138"/>
    </row>
    <row r="11" spans="1:10" ht="18" customHeight="1" x14ac:dyDescent="0.25">
      <c r="A11" s="138"/>
      <c r="B11" s="140"/>
      <c r="C11" s="142"/>
      <c r="D11" s="152" t="s">
        <v>92</v>
      </c>
      <c r="E11" s="100"/>
      <c r="F11" s="100"/>
      <c r="G11" s="100"/>
      <c r="H11" s="100"/>
      <c r="I11" s="101"/>
      <c r="J11" s="139"/>
    </row>
    <row r="12" spans="1:10" ht="13.05" customHeight="1" x14ac:dyDescent="0.25">
      <c r="A12" s="37"/>
      <c r="B12" s="36" t="s">
        <v>82</v>
      </c>
      <c r="C12" s="136" t="s">
        <v>81</v>
      </c>
      <c r="D12" s="137"/>
      <c r="E12" s="54" t="s">
        <v>80</v>
      </c>
      <c r="F12" s="55"/>
      <c r="G12" s="56" t="s">
        <v>79</v>
      </c>
      <c r="H12" s="54" t="s">
        <v>78</v>
      </c>
      <c r="I12" s="54" t="s">
        <v>77</v>
      </c>
      <c r="J12" s="35"/>
    </row>
  </sheetData>
  <sheetProtection selectLockedCells="1" selectUnlockedCells="1"/>
  <mergeCells count="12">
    <mergeCell ref="C12:D12"/>
    <mergeCell ref="C1:D1"/>
    <mergeCell ref="A6:A11"/>
    <mergeCell ref="J6:J11"/>
    <mergeCell ref="B7:B11"/>
    <mergeCell ref="C7:C11"/>
    <mergeCell ref="E7:H7"/>
    <mergeCell ref="I7:I10"/>
    <mergeCell ref="E8:H8"/>
    <mergeCell ref="E9:H9"/>
    <mergeCell ref="E10:F10"/>
    <mergeCell ref="D11:I11"/>
  </mergeCells>
  <pageMargins left="0.25" right="0.25" top="0.25" bottom="0.25" header="0.51180555555555551" footer="0.51180555555555551"/>
  <pageSetup paperSize="9" firstPageNumber="0" orientation="landscape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H38"/>
  <sheetViews>
    <sheetView workbookViewId="0">
      <selection activeCell="B13" sqref="B13"/>
    </sheetView>
  </sheetViews>
  <sheetFormatPr defaultColWidth="9.21875" defaultRowHeight="14.4" x14ac:dyDescent="0.3"/>
  <cols>
    <col min="1" max="1" width="35.44140625" style="21" customWidth="1"/>
    <col min="2" max="8" width="22.21875" style="21" customWidth="1"/>
    <col min="9" max="16384" width="9.21875" style="21"/>
  </cols>
  <sheetData>
    <row r="1" spans="1:8" x14ac:dyDescent="0.3">
      <c r="A1" s="24" t="s">
        <v>76</v>
      </c>
      <c r="B1" s="153" t="s">
        <v>75</v>
      </c>
      <c r="C1" s="153"/>
      <c r="D1" s="153"/>
      <c r="E1" s="153"/>
      <c r="F1" s="153"/>
      <c r="G1" s="153"/>
      <c r="H1" s="153"/>
    </row>
    <row r="2" spans="1:8" x14ac:dyDescent="0.3">
      <c r="A2" s="25" t="s">
        <v>57</v>
      </c>
      <c r="B2" s="24">
        <v>2</v>
      </c>
      <c r="C2" s="24">
        <v>4</v>
      </c>
      <c r="D2" s="24">
        <v>6</v>
      </c>
      <c r="E2" s="24">
        <v>8</v>
      </c>
      <c r="F2" s="24">
        <v>10</v>
      </c>
      <c r="G2" s="24">
        <v>12</v>
      </c>
      <c r="H2" s="24">
        <v>14</v>
      </c>
    </row>
    <row r="3" spans="1:8" x14ac:dyDescent="0.3">
      <c r="A3" s="25" t="s">
        <v>55</v>
      </c>
      <c r="B3" s="33" t="s">
        <v>54</v>
      </c>
      <c r="C3" s="24" t="s">
        <v>74</v>
      </c>
      <c r="D3" s="24" t="s">
        <v>73</v>
      </c>
      <c r="E3" s="24"/>
      <c r="F3" s="24"/>
      <c r="G3" s="24"/>
      <c r="H3" s="24"/>
    </row>
    <row r="4" spans="1:8" x14ac:dyDescent="0.3">
      <c r="A4" s="25" t="s">
        <v>53</v>
      </c>
      <c r="B4" s="24">
        <v>0.8</v>
      </c>
      <c r="C4" s="24">
        <v>1.6</v>
      </c>
      <c r="D4" s="24"/>
      <c r="E4" s="24"/>
      <c r="F4" s="24"/>
      <c r="G4" s="24"/>
      <c r="H4" s="24"/>
    </row>
    <row r="5" spans="1:8" x14ac:dyDescent="0.3">
      <c r="A5" s="25" t="s">
        <v>52</v>
      </c>
      <c r="B5" s="24">
        <v>0.15</v>
      </c>
      <c r="C5" s="24">
        <v>0.3</v>
      </c>
      <c r="D5" s="24"/>
      <c r="E5" s="24"/>
      <c r="F5" s="24"/>
      <c r="G5" s="24"/>
      <c r="H5" s="24"/>
    </row>
    <row r="6" spans="1:8" x14ac:dyDescent="0.3">
      <c r="A6" s="25" t="s">
        <v>51</v>
      </c>
      <c r="B6" s="24">
        <v>0.15</v>
      </c>
      <c r="C6" s="24">
        <v>0.3</v>
      </c>
      <c r="D6" s="24"/>
      <c r="E6" s="24"/>
      <c r="F6" s="24"/>
      <c r="G6" s="24"/>
      <c r="H6" s="24"/>
    </row>
    <row r="7" spans="1:8" x14ac:dyDescent="0.3">
      <c r="A7" s="25" t="s">
        <v>50</v>
      </c>
      <c r="B7" s="24">
        <v>0.2</v>
      </c>
      <c r="C7" s="24">
        <v>0.25</v>
      </c>
      <c r="D7" s="24">
        <v>0.3</v>
      </c>
      <c r="E7" s="24">
        <v>0.6</v>
      </c>
      <c r="F7" s="24">
        <v>0.9</v>
      </c>
      <c r="G7" s="24"/>
      <c r="H7" s="24"/>
    </row>
    <row r="8" spans="1:8" x14ac:dyDescent="0.3">
      <c r="A8" s="25" t="s">
        <v>49</v>
      </c>
      <c r="B8" s="24"/>
      <c r="C8" s="24"/>
      <c r="D8" s="24"/>
      <c r="E8" s="24"/>
      <c r="F8" s="24"/>
      <c r="G8" s="24"/>
      <c r="H8" s="24"/>
    </row>
    <row r="9" spans="1:8" x14ac:dyDescent="0.3">
      <c r="A9" s="25" t="s">
        <v>48</v>
      </c>
      <c r="B9" s="24"/>
      <c r="C9" s="24"/>
      <c r="D9" s="24"/>
      <c r="E9" s="24"/>
      <c r="F9" s="24"/>
      <c r="G9" s="24"/>
      <c r="H9" s="24"/>
    </row>
    <row r="10" spans="1:8" x14ac:dyDescent="0.3">
      <c r="A10" s="25" t="s">
        <v>47</v>
      </c>
      <c r="B10" s="24"/>
      <c r="C10" s="24"/>
      <c r="D10" s="24"/>
      <c r="E10" s="24"/>
      <c r="F10" s="24"/>
      <c r="G10" s="24"/>
      <c r="H10" s="24"/>
    </row>
    <row r="11" spans="1:8" x14ac:dyDescent="0.3">
      <c r="A11" s="25" t="s">
        <v>45</v>
      </c>
      <c r="B11" s="24" t="s">
        <v>44</v>
      </c>
      <c r="C11" s="24" t="s">
        <v>70</v>
      </c>
      <c r="D11" s="24" t="s">
        <v>72</v>
      </c>
      <c r="E11" s="24" t="s">
        <v>71</v>
      </c>
      <c r="F11" s="24" t="s">
        <v>39</v>
      </c>
      <c r="G11" s="24"/>
      <c r="H11" s="24"/>
    </row>
    <row r="12" spans="1:8" x14ac:dyDescent="0.3">
      <c r="A12" s="25" t="s">
        <v>43</v>
      </c>
      <c r="B12" s="24">
        <v>1</v>
      </c>
      <c r="C12" s="24">
        <v>2</v>
      </c>
      <c r="D12" s="24"/>
      <c r="E12" s="24"/>
      <c r="F12" s="24"/>
      <c r="G12" s="24"/>
      <c r="H12" s="24"/>
    </row>
    <row r="13" spans="1:8" x14ac:dyDescent="0.3">
      <c r="A13" s="25" t="s">
        <v>42</v>
      </c>
      <c r="B13" s="24" t="s">
        <v>41</v>
      </c>
      <c r="C13" s="24"/>
      <c r="D13" s="24"/>
      <c r="E13" s="24"/>
      <c r="F13" s="24"/>
      <c r="G13" s="24"/>
      <c r="H13" s="24"/>
    </row>
    <row r="14" spans="1:8" x14ac:dyDescent="0.3">
      <c r="A14" s="25" t="s">
        <v>40</v>
      </c>
      <c r="B14" s="24" t="s">
        <v>39</v>
      </c>
      <c r="C14" s="24" t="s">
        <v>70</v>
      </c>
      <c r="D14" s="24" t="s">
        <v>69</v>
      </c>
      <c r="E14" s="24"/>
      <c r="F14" s="24"/>
      <c r="G14" s="24"/>
      <c r="H14" s="24"/>
    </row>
    <row r="15" spans="1:8" x14ac:dyDescent="0.3">
      <c r="A15" s="25" t="s">
        <v>38</v>
      </c>
      <c r="B15" s="24">
        <v>1</v>
      </c>
      <c r="C15" s="24">
        <v>2</v>
      </c>
      <c r="D15" s="24"/>
      <c r="E15" s="24"/>
      <c r="F15" s="24"/>
      <c r="G15" s="24"/>
      <c r="H15" s="24"/>
    </row>
    <row r="16" spans="1:8" x14ac:dyDescent="0.3">
      <c r="A16" s="25" t="s">
        <v>36</v>
      </c>
      <c r="B16" s="24">
        <v>0.5</v>
      </c>
      <c r="C16" s="24">
        <v>1</v>
      </c>
      <c r="D16" s="24">
        <v>2</v>
      </c>
      <c r="E16" s="24"/>
      <c r="F16" s="24"/>
      <c r="G16" s="24"/>
      <c r="H16" s="24"/>
    </row>
    <row r="17" spans="1:8" x14ac:dyDescent="0.3">
      <c r="A17" s="25" t="s">
        <v>35</v>
      </c>
      <c r="B17" s="24">
        <v>0.5</v>
      </c>
      <c r="C17" s="24">
        <v>1</v>
      </c>
      <c r="D17" s="24">
        <v>2</v>
      </c>
      <c r="E17" s="24"/>
      <c r="F17" s="24"/>
      <c r="G17" s="24"/>
      <c r="H17" s="24"/>
    </row>
    <row r="18" spans="1:8" x14ac:dyDescent="0.3">
      <c r="A18" s="25" t="s">
        <v>33</v>
      </c>
      <c r="B18" s="24" t="s">
        <v>68</v>
      </c>
      <c r="C18" s="24" t="s">
        <v>32</v>
      </c>
      <c r="D18" s="24" t="s">
        <v>67</v>
      </c>
      <c r="E18" s="24" t="s">
        <v>66</v>
      </c>
      <c r="F18" s="24" t="s">
        <v>65</v>
      </c>
      <c r="G18" s="24"/>
      <c r="H18" s="24"/>
    </row>
    <row r="19" spans="1:8" x14ac:dyDescent="0.3">
      <c r="A19" s="25" t="s">
        <v>31</v>
      </c>
      <c r="B19" s="24" t="s">
        <v>64</v>
      </c>
      <c r="C19" s="24" t="s">
        <v>30</v>
      </c>
      <c r="D19" s="24"/>
      <c r="E19" s="24"/>
      <c r="F19" s="24"/>
      <c r="G19" s="24"/>
      <c r="H19" s="24"/>
    </row>
    <row r="20" spans="1:8" x14ac:dyDescent="0.3">
      <c r="A20" s="25" t="s">
        <v>63</v>
      </c>
      <c r="B20" s="24" t="s">
        <v>46</v>
      </c>
      <c r="C20" s="24" t="s">
        <v>62</v>
      </c>
      <c r="D20" s="24"/>
      <c r="E20" s="24"/>
      <c r="F20" s="24"/>
      <c r="G20" s="32"/>
      <c r="H20" s="32"/>
    </row>
    <row r="24" spans="1:8" x14ac:dyDescent="0.3">
      <c r="A24" s="31"/>
    </row>
    <row r="32" spans="1:8" x14ac:dyDescent="0.3">
      <c r="A32" s="30"/>
      <c r="B32" s="29"/>
    </row>
    <row r="33" spans="1:2" x14ac:dyDescent="0.3">
      <c r="B33" s="29"/>
    </row>
    <row r="34" spans="1:2" x14ac:dyDescent="0.3">
      <c r="B34" s="29"/>
    </row>
    <row r="35" spans="1:2" x14ac:dyDescent="0.3">
      <c r="B35" s="29"/>
    </row>
    <row r="36" spans="1:2" x14ac:dyDescent="0.3">
      <c r="B36" s="29"/>
    </row>
    <row r="37" spans="1:2" x14ac:dyDescent="0.3">
      <c r="B37" s="29"/>
    </row>
    <row r="38" spans="1:2" x14ac:dyDescent="0.3">
      <c r="A38" s="29"/>
      <c r="B38" s="29"/>
    </row>
  </sheetData>
  <mergeCells count="1">
    <mergeCell ref="B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BOM</vt:lpstr>
      <vt:lpstr>P_BOM</vt:lpstr>
      <vt:lpstr>SPEC</vt:lpstr>
      <vt:lpstr>STACK</vt:lpstr>
      <vt:lpstr>SPEC options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Lenovo</cp:lastModifiedBy>
  <cp:lastPrinted>2016-11-18T12:02:39Z</cp:lastPrinted>
  <dcterms:created xsi:type="dcterms:W3CDTF">2010-02-08T09:37:06Z</dcterms:created>
  <dcterms:modified xsi:type="dcterms:W3CDTF">2024-09-20T17:25:07Z</dcterms:modified>
</cp:coreProperties>
</file>